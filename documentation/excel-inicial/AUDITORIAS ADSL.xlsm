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ima1\Downloads\ciccsa\"/>
    </mc:Choice>
  </mc:AlternateContent>
  <xr:revisionPtr revIDLastSave="0" documentId="13_ncr:1_{C202B4C5-6B87-4B0F-BAA9-2EA67975A782}" xr6:coauthVersionLast="47" xr6:coauthVersionMax="47" xr10:uidLastSave="{00000000-0000-0000-0000-000000000000}"/>
  <bookViews>
    <workbookView xWindow="-120" yWindow="-120" windowWidth="29040" windowHeight="15840" tabRatio="651" xr2:uid="{00000000-000D-0000-FFFF-FFFF00000000}"/>
  </bookViews>
  <sheets>
    <sheet name="ADSL" sheetId="4" r:id="rId1"/>
    <sheet name="CALTEC ADSL" sheetId="6" r:id="rId2"/>
    <sheet name="VUC ADSL" sheetId="2" r:id="rId3"/>
    <sheet name="TOOLS ADSL" sheetId="3" r:id="rId4"/>
  </sheets>
  <externalReferences>
    <externalReference r:id="rId5"/>
  </externalReferences>
  <definedNames>
    <definedName name="_xlnm._FilterDatabase" localSheetId="0" hidden="1">ADSL!$A$2:$BS$102</definedName>
    <definedName name="_xlnm.Print_Area" localSheetId="1">'CALTEC ADSL'!$A$1:$K$190</definedName>
    <definedName name="_xlnm.Print_Area" localSheetId="3">'TOOLS ADSL'!$A$1:$I$175</definedName>
    <definedName name="_xlnm.Print_Area" localSheetId="2">'VUC ADSL'!$A$1:$I$238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6" i="2" l="1"/>
  <c r="B202" i="2"/>
  <c r="B160" i="2"/>
  <c r="B102" i="2"/>
  <c r="C47" i="2"/>
  <c r="C46" i="2"/>
  <c r="C45" i="2"/>
  <c r="C44" i="2"/>
  <c r="C43" i="2"/>
  <c r="C42" i="2"/>
  <c r="C26" i="2"/>
  <c r="C25" i="2"/>
  <c r="C24" i="2"/>
  <c r="C23" i="2"/>
  <c r="C22" i="2"/>
  <c r="C21" i="2"/>
  <c r="C20" i="2"/>
  <c r="C19" i="2"/>
  <c r="C18" i="2"/>
  <c r="C17" i="2"/>
  <c r="C16" i="2"/>
  <c r="B137" i="3"/>
  <c r="B95" i="3"/>
  <c r="B53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B153" i="6"/>
  <c r="B109" i="6"/>
  <c r="B65" i="6"/>
  <c r="B48" i="6"/>
  <c r="BL83" i="4" l="1"/>
  <c r="BM83" i="4"/>
  <c r="BN83" i="4"/>
  <c r="BO83" i="4"/>
  <c r="BP83" i="4"/>
  <c r="BL84" i="4"/>
  <c r="BM84" i="4"/>
  <c r="BN84" i="4"/>
  <c r="BO84" i="4"/>
  <c r="BP84" i="4"/>
  <c r="BL85" i="4"/>
  <c r="BM85" i="4"/>
  <c r="BN85" i="4"/>
  <c r="BO85" i="4"/>
  <c r="BP85" i="4"/>
  <c r="BL86" i="4"/>
  <c r="BM86" i="4"/>
  <c r="BN86" i="4"/>
  <c r="BO86" i="4"/>
  <c r="BP86" i="4"/>
  <c r="BL87" i="4"/>
  <c r="BM87" i="4"/>
  <c r="BN87" i="4"/>
  <c r="BO87" i="4"/>
  <c r="BP87" i="4"/>
  <c r="BL88" i="4"/>
  <c r="BM88" i="4"/>
  <c r="BN88" i="4"/>
  <c r="BO88" i="4"/>
  <c r="BP88" i="4"/>
  <c r="BL89" i="4"/>
  <c r="BM89" i="4"/>
  <c r="BN89" i="4"/>
  <c r="BO89" i="4"/>
  <c r="BP89" i="4"/>
  <c r="BL90" i="4"/>
  <c r="BM90" i="4"/>
  <c r="BN90" i="4"/>
  <c r="BO90" i="4"/>
  <c r="BP90" i="4"/>
  <c r="BL91" i="4"/>
  <c r="BM91" i="4"/>
  <c r="BN91" i="4"/>
  <c r="BO91" i="4"/>
  <c r="BP91" i="4"/>
  <c r="BL92" i="4"/>
  <c r="BM92" i="4"/>
  <c r="BN92" i="4"/>
  <c r="BO92" i="4"/>
  <c r="BP92" i="4"/>
  <c r="BL93" i="4"/>
  <c r="BM93" i="4"/>
  <c r="BN93" i="4"/>
  <c r="BO93" i="4"/>
  <c r="BP93" i="4"/>
  <c r="BL94" i="4"/>
  <c r="BM94" i="4"/>
  <c r="BN94" i="4"/>
  <c r="BO94" i="4"/>
  <c r="BP94" i="4"/>
  <c r="BL95" i="4"/>
  <c r="BM95" i="4"/>
  <c r="BN95" i="4"/>
  <c r="BO95" i="4"/>
  <c r="BP95" i="4"/>
  <c r="BL96" i="4"/>
  <c r="BM96" i="4"/>
  <c r="BN96" i="4"/>
  <c r="BO96" i="4"/>
  <c r="BP96" i="4"/>
  <c r="BL97" i="4"/>
  <c r="BM97" i="4"/>
  <c r="BN97" i="4"/>
  <c r="BO97" i="4"/>
  <c r="BP97" i="4"/>
  <c r="BL98" i="4"/>
  <c r="BM98" i="4"/>
  <c r="BN98" i="4"/>
  <c r="BO98" i="4"/>
  <c r="BP98" i="4"/>
  <c r="BL99" i="4"/>
  <c r="BM99" i="4"/>
  <c r="BN99" i="4"/>
  <c r="BO99" i="4"/>
  <c r="BP99" i="4"/>
  <c r="BL100" i="4"/>
  <c r="BM100" i="4"/>
  <c r="BN100" i="4"/>
  <c r="BO100" i="4"/>
  <c r="BP100" i="4"/>
  <c r="BL101" i="4"/>
  <c r="BM101" i="4"/>
  <c r="BN101" i="4"/>
  <c r="BO101" i="4"/>
  <c r="BP101" i="4"/>
  <c r="BL102" i="4"/>
  <c r="BM102" i="4"/>
  <c r="BN102" i="4"/>
  <c r="BO102" i="4"/>
  <c r="BP102" i="4"/>
  <c r="I43" i="6" l="1"/>
  <c r="J43" i="6" s="1"/>
  <c r="BL4" i="4" l="1"/>
  <c r="BL5" i="4"/>
  <c r="BL6" i="4"/>
  <c r="BL7" i="4"/>
  <c r="BL8" i="4"/>
  <c r="BL9" i="4"/>
  <c r="BL10" i="4"/>
  <c r="BL11" i="4"/>
  <c r="BL12" i="4"/>
  <c r="BL13" i="4"/>
  <c r="BL14" i="4"/>
  <c r="BL15" i="4"/>
  <c r="BL16" i="4"/>
  <c r="BL17" i="4"/>
  <c r="BL18" i="4"/>
  <c r="BL19" i="4"/>
  <c r="BL20" i="4"/>
  <c r="BL21" i="4"/>
  <c r="BL22" i="4"/>
  <c r="BL23" i="4"/>
  <c r="BL24" i="4"/>
  <c r="BL25" i="4"/>
  <c r="BL26" i="4"/>
  <c r="BL27" i="4"/>
  <c r="BL28" i="4"/>
  <c r="BL29" i="4"/>
  <c r="BL30" i="4"/>
  <c r="BL31" i="4"/>
  <c r="BL32" i="4"/>
  <c r="BL33" i="4"/>
  <c r="BL34" i="4"/>
  <c r="BL35" i="4"/>
  <c r="BL36" i="4"/>
  <c r="BL37" i="4"/>
  <c r="BL38" i="4"/>
  <c r="BL39" i="4"/>
  <c r="BL40" i="4"/>
  <c r="BL41" i="4"/>
  <c r="BL42" i="4"/>
  <c r="BL43" i="4"/>
  <c r="BL44" i="4"/>
  <c r="BL45" i="4"/>
  <c r="BL46" i="4"/>
  <c r="BL47" i="4"/>
  <c r="BL48" i="4"/>
  <c r="BL49" i="4"/>
  <c r="BL50" i="4"/>
  <c r="BL51" i="4"/>
  <c r="BL52" i="4"/>
  <c r="BL53" i="4"/>
  <c r="BL54" i="4"/>
  <c r="BL55" i="4"/>
  <c r="BL56" i="4"/>
  <c r="BL57" i="4"/>
  <c r="BL58" i="4"/>
  <c r="BL59" i="4"/>
  <c r="BL60" i="4"/>
  <c r="BL61" i="4"/>
  <c r="BL62" i="4"/>
  <c r="BL63" i="4"/>
  <c r="BL64" i="4"/>
  <c r="BL65" i="4"/>
  <c r="BL66" i="4"/>
  <c r="BL67" i="4"/>
  <c r="BL68" i="4"/>
  <c r="BL69" i="4"/>
  <c r="BL70" i="4"/>
  <c r="BL71" i="4"/>
  <c r="BL72" i="4"/>
  <c r="BL73" i="4"/>
  <c r="BL74" i="4"/>
  <c r="BL75" i="4"/>
  <c r="BL76" i="4"/>
  <c r="BL77" i="4"/>
  <c r="BL78" i="4"/>
  <c r="BL79" i="4"/>
  <c r="BL80" i="4"/>
  <c r="BL81" i="4"/>
  <c r="BL82" i="4"/>
  <c r="I42" i="6" l="1"/>
  <c r="J42" i="6" s="1"/>
  <c r="B42" i="6"/>
  <c r="Q1" i="4"/>
  <c r="A55" i="2" l="1"/>
  <c r="F49" i="6"/>
  <c r="B49" i="6"/>
  <c r="F48" i="6"/>
  <c r="BM4" i="4" l="1"/>
  <c r="BN4" i="4"/>
  <c r="BO4" i="4"/>
  <c r="BP4" i="4"/>
  <c r="BM5" i="4"/>
  <c r="BN5" i="4"/>
  <c r="BO5" i="4"/>
  <c r="BP5" i="4"/>
  <c r="BM6" i="4"/>
  <c r="BN6" i="4"/>
  <c r="BO6" i="4"/>
  <c r="BP6" i="4"/>
  <c r="BM7" i="4"/>
  <c r="BN7" i="4"/>
  <c r="BO7" i="4"/>
  <c r="BP7" i="4"/>
  <c r="BM8" i="4"/>
  <c r="BN8" i="4"/>
  <c r="BO8" i="4"/>
  <c r="BP8" i="4"/>
  <c r="BM9" i="4"/>
  <c r="BN9" i="4"/>
  <c r="BO9" i="4"/>
  <c r="BP9" i="4"/>
  <c r="BM10" i="4"/>
  <c r="BN10" i="4"/>
  <c r="BO10" i="4"/>
  <c r="BP10" i="4"/>
  <c r="BM11" i="4"/>
  <c r="BN11" i="4"/>
  <c r="BO11" i="4"/>
  <c r="BP11" i="4"/>
  <c r="BM12" i="4"/>
  <c r="BN12" i="4"/>
  <c r="BO12" i="4"/>
  <c r="BP12" i="4"/>
  <c r="BM13" i="4"/>
  <c r="BN13" i="4"/>
  <c r="BO13" i="4"/>
  <c r="BP13" i="4"/>
  <c r="BM14" i="4"/>
  <c r="BN14" i="4"/>
  <c r="BO14" i="4"/>
  <c r="BP14" i="4"/>
  <c r="BM15" i="4"/>
  <c r="BN15" i="4"/>
  <c r="BO15" i="4"/>
  <c r="BP15" i="4"/>
  <c r="BM16" i="4"/>
  <c r="BN16" i="4"/>
  <c r="BO16" i="4"/>
  <c r="BP16" i="4"/>
  <c r="BM17" i="4"/>
  <c r="BN17" i="4"/>
  <c r="BO17" i="4"/>
  <c r="BP17" i="4"/>
  <c r="BM18" i="4"/>
  <c r="BN18" i="4"/>
  <c r="BO18" i="4"/>
  <c r="BP18" i="4"/>
  <c r="BM19" i="4"/>
  <c r="BN19" i="4"/>
  <c r="BO19" i="4"/>
  <c r="BP19" i="4"/>
  <c r="BM20" i="4"/>
  <c r="BN20" i="4"/>
  <c r="BO20" i="4"/>
  <c r="BP20" i="4"/>
  <c r="BM21" i="4"/>
  <c r="BN21" i="4"/>
  <c r="BO21" i="4"/>
  <c r="BP21" i="4"/>
  <c r="BM22" i="4"/>
  <c r="BN22" i="4"/>
  <c r="BO22" i="4"/>
  <c r="BP22" i="4"/>
  <c r="BM23" i="4"/>
  <c r="BN23" i="4"/>
  <c r="BO23" i="4"/>
  <c r="BP23" i="4"/>
  <c r="BM24" i="4"/>
  <c r="BN24" i="4"/>
  <c r="BO24" i="4"/>
  <c r="BP24" i="4"/>
  <c r="BM25" i="4"/>
  <c r="BN25" i="4"/>
  <c r="BO25" i="4"/>
  <c r="BP25" i="4"/>
  <c r="BM26" i="4"/>
  <c r="BN26" i="4"/>
  <c r="BO26" i="4"/>
  <c r="BP26" i="4"/>
  <c r="BM27" i="4"/>
  <c r="BN27" i="4"/>
  <c r="BO27" i="4"/>
  <c r="BP27" i="4"/>
  <c r="BM28" i="4"/>
  <c r="BN28" i="4"/>
  <c r="BO28" i="4"/>
  <c r="BP28" i="4"/>
  <c r="BM29" i="4"/>
  <c r="BN29" i="4"/>
  <c r="BO29" i="4"/>
  <c r="BP29" i="4"/>
  <c r="BM30" i="4"/>
  <c r="BN30" i="4"/>
  <c r="BO30" i="4"/>
  <c r="BP30" i="4"/>
  <c r="BM31" i="4"/>
  <c r="BN31" i="4"/>
  <c r="BO31" i="4"/>
  <c r="BP31" i="4"/>
  <c r="BM32" i="4"/>
  <c r="BN32" i="4"/>
  <c r="BO32" i="4"/>
  <c r="BP32" i="4"/>
  <c r="BM33" i="4"/>
  <c r="BN33" i="4"/>
  <c r="BO33" i="4"/>
  <c r="BP33" i="4"/>
  <c r="BM34" i="4"/>
  <c r="BN34" i="4"/>
  <c r="BO34" i="4"/>
  <c r="BP34" i="4"/>
  <c r="BM35" i="4"/>
  <c r="BN35" i="4"/>
  <c r="BO35" i="4"/>
  <c r="BP35" i="4"/>
  <c r="BM36" i="4"/>
  <c r="BN36" i="4"/>
  <c r="BO36" i="4"/>
  <c r="BP36" i="4"/>
  <c r="BM37" i="4"/>
  <c r="BN37" i="4"/>
  <c r="BO37" i="4"/>
  <c r="BP37" i="4"/>
  <c r="BM38" i="4"/>
  <c r="BN38" i="4"/>
  <c r="BO38" i="4"/>
  <c r="BP38" i="4"/>
  <c r="BM39" i="4"/>
  <c r="BN39" i="4"/>
  <c r="BO39" i="4"/>
  <c r="BP39" i="4"/>
  <c r="BM40" i="4"/>
  <c r="BN40" i="4"/>
  <c r="BO40" i="4"/>
  <c r="BP40" i="4"/>
  <c r="BM41" i="4"/>
  <c r="BN41" i="4"/>
  <c r="BO41" i="4"/>
  <c r="BP41" i="4"/>
  <c r="BM42" i="4"/>
  <c r="BN42" i="4"/>
  <c r="BO42" i="4"/>
  <c r="BP42" i="4"/>
  <c r="BM43" i="4"/>
  <c r="BN43" i="4"/>
  <c r="BO43" i="4"/>
  <c r="BP43" i="4"/>
  <c r="BM44" i="4"/>
  <c r="BN44" i="4"/>
  <c r="BO44" i="4"/>
  <c r="BP44" i="4"/>
  <c r="BM45" i="4"/>
  <c r="BN45" i="4"/>
  <c r="BO45" i="4"/>
  <c r="BP45" i="4"/>
  <c r="BM46" i="4"/>
  <c r="BN46" i="4"/>
  <c r="BO46" i="4"/>
  <c r="BP46" i="4"/>
  <c r="BM47" i="4"/>
  <c r="BN47" i="4"/>
  <c r="BO47" i="4"/>
  <c r="BP47" i="4"/>
  <c r="BM48" i="4"/>
  <c r="BN48" i="4"/>
  <c r="BO48" i="4"/>
  <c r="BP48" i="4"/>
  <c r="BM49" i="4"/>
  <c r="BN49" i="4"/>
  <c r="BO49" i="4"/>
  <c r="BP49" i="4"/>
  <c r="BM50" i="4"/>
  <c r="BN50" i="4"/>
  <c r="BO50" i="4"/>
  <c r="BP50" i="4"/>
  <c r="BM51" i="4"/>
  <c r="BN51" i="4"/>
  <c r="BO51" i="4"/>
  <c r="BP51" i="4"/>
  <c r="BM52" i="4"/>
  <c r="BN52" i="4"/>
  <c r="BO52" i="4"/>
  <c r="BP52" i="4"/>
  <c r="BM53" i="4"/>
  <c r="BN53" i="4"/>
  <c r="BO53" i="4"/>
  <c r="BP53" i="4"/>
  <c r="BM54" i="4"/>
  <c r="BN54" i="4"/>
  <c r="BO54" i="4"/>
  <c r="BP54" i="4"/>
  <c r="BM55" i="4"/>
  <c r="BN55" i="4"/>
  <c r="BO55" i="4"/>
  <c r="BP55" i="4"/>
  <c r="BM56" i="4"/>
  <c r="BN56" i="4"/>
  <c r="BO56" i="4"/>
  <c r="BP56" i="4"/>
  <c r="BM57" i="4"/>
  <c r="BN57" i="4"/>
  <c r="BO57" i="4"/>
  <c r="BP57" i="4"/>
  <c r="BM58" i="4"/>
  <c r="BN58" i="4"/>
  <c r="BO58" i="4"/>
  <c r="BP58" i="4"/>
  <c r="BM59" i="4"/>
  <c r="BN59" i="4"/>
  <c r="BO59" i="4"/>
  <c r="BP59" i="4"/>
  <c r="BM60" i="4"/>
  <c r="BN60" i="4"/>
  <c r="BO60" i="4"/>
  <c r="BP60" i="4"/>
  <c r="BM61" i="4"/>
  <c r="BN61" i="4"/>
  <c r="BO61" i="4"/>
  <c r="BP61" i="4"/>
  <c r="BM62" i="4"/>
  <c r="BN62" i="4"/>
  <c r="BO62" i="4"/>
  <c r="BP62" i="4"/>
  <c r="BM63" i="4"/>
  <c r="BN63" i="4"/>
  <c r="BO63" i="4"/>
  <c r="BP63" i="4"/>
  <c r="BM64" i="4"/>
  <c r="BN64" i="4"/>
  <c r="BO64" i="4"/>
  <c r="BP64" i="4"/>
  <c r="BM65" i="4"/>
  <c r="BN65" i="4"/>
  <c r="BO65" i="4"/>
  <c r="BP65" i="4"/>
  <c r="BM66" i="4"/>
  <c r="BN66" i="4"/>
  <c r="BO66" i="4"/>
  <c r="BP66" i="4"/>
  <c r="BM67" i="4"/>
  <c r="BN67" i="4"/>
  <c r="BO67" i="4"/>
  <c r="BP67" i="4"/>
  <c r="BM68" i="4"/>
  <c r="BN68" i="4"/>
  <c r="BO68" i="4"/>
  <c r="BP68" i="4"/>
  <c r="BM69" i="4"/>
  <c r="BN69" i="4"/>
  <c r="BO69" i="4"/>
  <c r="BP69" i="4"/>
  <c r="BM70" i="4"/>
  <c r="BN70" i="4"/>
  <c r="BO70" i="4"/>
  <c r="BP70" i="4"/>
  <c r="BM71" i="4"/>
  <c r="BN71" i="4"/>
  <c r="BO71" i="4"/>
  <c r="BP71" i="4"/>
  <c r="BM72" i="4"/>
  <c r="BN72" i="4"/>
  <c r="BO72" i="4"/>
  <c r="BP72" i="4"/>
  <c r="BM73" i="4"/>
  <c r="BN73" i="4"/>
  <c r="BO73" i="4"/>
  <c r="BP73" i="4"/>
  <c r="BM74" i="4"/>
  <c r="BN74" i="4"/>
  <c r="BO74" i="4"/>
  <c r="BP74" i="4"/>
  <c r="BM75" i="4"/>
  <c r="BN75" i="4"/>
  <c r="BO75" i="4"/>
  <c r="BP75" i="4"/>
  <c r="BM76" i="4"/>
  <c r="BN76" i="4"/>
  <c r="BO76" i="4"/>
  <c r="BP76" i="4"/>
  <c r="BM77" i="4"/>
  <c r="BN77" i="4"/>
  <c r="BO77" i="4"/>
  <c r="BP77" i="4"/>
  <c r="BM78" i="4"/>
  <c r="BN78" i="4"/>
  <c r="BO78" i="4"/>
  <c r="BP78" i="4"/>
  <c r="BM79" i="4"/>
  <c r="BN79" i="4"/>
  <c r="BO79" i="4"/>
  <c r="BP79" i="4"/>
  <c r="BM80" i="4"/>
  <c r="BN80" i="4"/>
  <c r="BO80" i="4"/>
  <c r="BP80" i="4"/>
  <c r="BM81" i="4"/>
  <c r="BN81" i="4"/>
  <c r="BO81" i="4"/>
  <c r="BP81" i="4"/>
  <c r="BM82" i="4"/>
  <c r="BN82" i="4"/>
  <c r="BO82" i="4"/>
  <c r="BP82" i="4"/>
  <c r="BN3" i="4"/>
  <c r="BO3" i="4"/>
  <c r="BP3" i="4"/>
  <c r="G53" i="3" l="1"/>
  <c r="H137" i="3"/>
  <c r="H95" i="3"/>
  <c r="B14" i="3"/>
  <c r="B13" i="3"/>
  <c r="B7" i="3"/>
  <c r="B5" i="3"/>
  <c r="B3" i="3"/>
  <c r="D3" i="3"/>
  <c r="G102" i="2"/>
  <c r="H202" i="2"/>
  <c r="H160" i="2"/>
  <c r="D55" i="2"/>
  <c r="C55" i="2"/>
  <c r="B55" i="2"/>
  <c r="B12" i="2"/>
  <c r="B11" i="2"/>
  <c r="B7" i="2"/>
  <c r="B5" i="2"/>
  <c r="B3" i="2"/>
  <c r="D3" i="2"/>
  <c r="I153" i="6"/>
  <c r="I109" i="6"/>
  <c r="I65" i="6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2" i="6"/>
  <c r="I30" i="6"/>
  <c r="I29" i="6"/>
  <c r="I28" i="6"/>
  <c r="I27" i="6"/>
  <c r="I26" i="6"/>
  <c r="I25" i="6"/>
  <c r="C10" i="6"/>
  <c r="C9" i="6"/>
  <c r="B7" i="6"/>
  <c r="B5" i="6"/>
  <c r="B3" i="6"/>
  <c r="H3" i="6"/>
  <c r="J15" i="6" l="1"/>
  <c r="J16" i="6"/>
  <c r="J17" i="6"/>
  <c r="J18" i="6"/>
  <c r="J20" i="6"/>
  <c r="J21" i="6"/>
  <c r="J22" i="6"/>
  <c r="J23" i="6"/>
  <c r="J25" i="6"/>
  <c r="J26" i="6"/>
  <c r="J27" i="6"/>
  <c r="J28" i="6"/>
  <c r="J29" i="6"/>
  <c r="J30" i="6"/>
  <c r="J49" i="6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B34" i="3"/>
  <c r="D34" i="3" l="1"/>
  <c r="C86" i="2" l="1"/>
  <c r="B73" i="2"/>
  <c r="B48" i="2"/>
  <c r="D47" i="2"/>
  <c r="D46" i="2"/>
  <c r="D45" i="2"/>
  <c r="D44" i="2"/>
  <c r="D43" i="2"/>
  <c r="D42" i="2"/>
  <c r="B27" i="2"/>
  <c r="D26" i="2"/>
  <c r="D25" i="2"/>
  <c r="D24" i="2"/>
  <c r="D23" i="2"/>
  <c r="D22" i="2"/>
  <c r="D21" i="2"/>
  <c r="D20" i="2"/>
  <c r="D19" i="2"/>
  <c r="D18" i="2"/>
  <c r="D17" i="2"/>
  <c r="D16" i="2"/>
  <c r="D48" i="2" l="1"/>
  <c r="D27" i="2"/>
</calcChain>
</file>

<file path=xl/sharedStrings.xml><?xml version="1.0" encoding="utf-8"?>
<sst xmlns="http://schemas.openxmlformats.org/spreadsheetml/2006/main" count="418" uniqueCount="164">
  <si>
    <t>** Evaluacion de Calidad Tecnica ADSL Instalaciones</t>
  </si>
  <si>
    <t>Mes evaluado</t>
  </si>
  <si>
    <t>FECHA</t>
  </si>
  <si>
    <t>Pais</t>
  </si>
  <si>
    <t>Gerencia</t>
  </si>
  <si>
    <t>Contratista</t>
  </si>
  <si>
    <t>Area operativa</t>
  </si>
  <si>
    <t>Nombre del Técnico</t>
  </si>
  <si>
    <t>Codigo de Empleado</t>
  </si>
  <si>
    <t>Nombre del Supervisor Técnico</t>
  </si>
  <si>
    <t>AREA</t>
  </si>
  <si>
    <t>POND.</t>
  </si>
  <si>
    <t>DESCRIPCION</t>
  </si>
  <si>
    <t>Respuesta</t>
  </si>
  <si>
    <t>MDF</t>
  </si>
  <si>
    <t>Trayectoria y calidad de conexión del puente</t>
  </si>
  <si>
    <t>Realizacion de puente en par según sistema</t>
  </si>
  <si>
    <t>Limpieza del área de trabajo</t>
  </si>
  <si>
    <t>Materiales normados por CLARO</t>
  </si>
  <si>
    <t>ARMARIO</t>
  </si>
  <si>
    <t>Limpieza del área de trabajo.</t>
  </si>
  <si>
    <t>Uso de Materiales normados por CLARO</t>
  </si>
  <si>
    <t>ACOMETIDA EXTERNA</t>
  </si>
  <si>
    <t>Conexión en caja terminal en norma</t>
  </si>
  <si>
    <t>instalacion de cable "nuevo", normado por Claro</t>
  </si>
  <si>
    <t>Uso de amarre, argolla o tensor para cable de acometida con catenaria adecuada</t>
  </si>
  <si>
    <t>Trayectoria del cable de acometida de acuerdo a la norma</t>
  </si>
  <si>
    <t>Acomentida externa sin empalmes</t>
  </si>
  <si>
    <t>Uso de postes / uso de ductos de Claro</t>
  </si>
  <si>
    <t>Observaciones :</t>
  </si>
  <si>
    <t>CLIENTE PERMITE ACCESO</t>
  </si>
  <si>
    <t>ACOMETIDA INTERNA</t>
  </si>
  <si>
    <t>Estetica en la instalacion y cable normado por Claro</t>
  </si>
  <si>
    <t>Uso adecuado de grapas, silicone</t>
  </si>
  <si>
    <t>Realizacion de retorno de linea telefonica ( A solicitud del cliente)</t>
  </si>
  <si>
    <t>Fijacion y conexión de dispositivos terminales</t>
  </si>
  <si>
    <t>Conexión y configuracion de CPE adecuada</t>
  </si>
  <si>
    <t>Acometida interna sin empalmes</t>
  </si>
  <si>
    <t>Materiales homologados por CLARO</t>
  </si>
  <si>
    <t>Técnico Evaluado</t>
  </si>
  <si>
    <t>FIRMA</t>
  </si>
  <si>
    <t>** EVALUACIÓN DE VEHICULOS Y UNIFORMES (COBRE, ADSL, HFC)</t>
  </si>
  <si>
    <t>Guatemala</t>
  </si>
  <si>
    <t>Orden de servicio</t>
  </si>
  <si>
    <t>Tecnología</t>
  </si>
  <si>
    <t>UNIFORME</t>
  </si>
  <si>
    <t>Resultado</t>
  </si>
  <si>
    <t>Puntos</t>
  </si>
  <si>
    <t>Camisa</t>
  </si>
  <si>
    <t>Pantalon</t>
  </si>
  <si>
    <t>Botas</t>
  </si>
  <si>
    <t>Gafete</t>
  </si>
  <si>
    <t>Faja</t>
  </si>
  <si>
    <t>Cinturón de seguridad con amarre a poste</t>
  </si>
  <si>
    <t>Chaleco preventivo</t>
  </si>
  <si>
    <t>Casco de protección</t>
  </si>
  <si>
    <t>Guantes de cuero</t>
  </si>
  <si>
    <t>Capa Impermeable</t>
  </si>
  <si>
    <t>Aspecto personal</t>
  </si>
  <si>
    <t>TOTAL</t>
  </si>
  <si>
    <t>FOTOGRAFIA UNIFORME</t>
  </si>
  <si>
    <t>OBSERVACIONES</t>
  </si>
  <si>
    <t>APLICA</t>
  </si>
  <si>
    <t>SI</t>
  </si>
  <si>
    <t>VEHICULO</t>
  </si>
  <si>
    <t>Logotipo de empresa</t>
  </si>
  <si>
    <t>Carroceria</t>
  </si>
  <si>
    <t>Porta Escalera</t>
  </si>
  <si>
    <t>Estado de neumaticos</t>
  </si>
  <si>
    <t>Rotulado de unidad</t>
  </si>
  <si>
    <t>Orden y limpieza</t>
  </si>
  <si>
    <t>FOTOGRAFIA VEHICULO</t>
  </si>
  <si>
    <t>MOTO</t>
  </si>
  <si>
    <t>Logotipo</t>
  </si>
  <si>
    <t>Estado de Carroceria</t>
  </si>
  <si>
    <t>Focos</t>
  </si>
  <si>
    <t>Parrilla</t>
  </si>
  <si>
    <t xml:space="preserve">Casco </t>
  </si>
  <si>
    <t>Pide Vía</t>
  </si>
  <si>
    <t>Luces Laterales</t>
  </si>
  <si>
    <t>Estado de las Llantas</t>
  </si>
  <si>
    <t>Stop Traseros</t>
  </si>
  <si>
    <t>Marca Y Modelo</t>
  </si>
  <si>
    <t>FOTOGRAFIA MOTO</t>
  </si>
  <si>
    <t>CERTIFICACION</t>
  </si>
  <si>
    <t>Tecnico Certificado Por Claro</t>
  </si>
  <si>
    <t>** Evaluacion de Auditoria ADSL Reparaciones e Instalaciones</t>
  </si>
  <si>
    <t>Fecha de Evaluacion</t>
  </si>
  <si>
    <t>ADSL</t>
  </si>
  <si>
    <t>Descripción</t>
  </si>
  <si>
    <t>POND</t>
  </si>
  <si>
    <t>RESPUESTA</t>
  </si>
  <si>
    <t>Herramienta Para regletas</t>
  </si>
  <si>
    <t>Herramienta entorchadora reversible 2X24</t>
  </si>
  <si>
    <t>Microteléfono</t>
  </si>
  <si>
    <t>Llave para armario</t>
  </si>
  <si>
    <t>Equipo medición Homologado de pares cobre y ADSL (VEEX)</t>
  </si>
  <si>
    <t>Escalera</t>
  </si>
  <si>
    <t>Alicate</t>
  </si>
  <si>
    <t>Pinza</t>
  </si>
  <si>
    <t>Corta Alambre</t>
  </si>
  <si>
    <t xml:space="preserve">Destornilladores </t>
  </si>
  <si>
    <t>Navaja Curva</t>
  </si>
  <si>
    <t>Generador de tono con punta inductiva</t>
  </si>
  <si>
    <t>Taladro tipo industrial de 1/2"</t>
  </si>
  <si>
    <t>Broca pasa muros 12 pulgadas * 1/2 o 3/8</t>
  </si>
  <si>
    <t>Guía acerada de 30 metros</t>
  </si>
  <si>
    <t>Cadena con candados (asegurar escalera a vehículo)</t>
  </si>
  <si>
    <t>Puntuación</t>
  </si>
  <si>
    <t>Área operativa</t>
  </si>
  <si>
    <t>Nombre de técnico</t>
  </si>
  <si>
    <t>Nombre del supervisor</t>
  </si>
  <si>
    <t>Instalación de cable "nuevo", normado por Claro</t>
  </si>
  <si>
    <t>Estética en la instalación y cable normado por Claro</t>
  </si>
  <si>
    <t>Realización de retorno de linea telefónica ( A solicitud del cliente)</t>
  </si>
  <si>
    <t>Evidencia fotográfica</t>
  </si>
  <si>
    <t>Segundo Archivo</t>
  </si>
  <si>
    <t>Conexión y configuración de CPE adecuada</t>
  </si>
  <si>
    <t>Micro teléfono</t>
  </si>
  <si>
    <t>Destornilladores</t>
  </si>
  <si>
    <t>Pantalón</t>
  </si>
  <si>
    <t>BOTAS</t>
  </si>
  <si>
    <t>Carrocería</t>
  </si>
  <si>
    <t>Estado de neumáticos</t>
  </si>
  <si>
    <t>Técnico Certificado Por Claro</t>
  </si>
  <si>
    <t>Tercer Archivo</t>
  </si>
  <si>
    <t>N/A</t>
  </si>
  <si>
    <t xml:space="preserve">Calidad Tecnica </t>
  </si>
  <si>
    <t>Herramienta</t>
  </si>
  <si>
    <t>Uniforme</t>
  </si>
  <si>
    <t>Vehiculo</t>
  </si>
  <si>
    <t>Tecnico certificado</t>
  </si>
  <si>
    <t>Tecnologia</t>
  </si>
  <si>
    <t>Acometida externa SIn empalmes</t>
  </si>
  <si>
    <t>Uso adecuado de grapas, SIlicone</t>
  </si>
  <si>
    <t>Fijación y conexión de dispoSItivos terminales</t>
  </si>
  <si>
    <t>Acometida interna SIn empalmes</t>
  </si>
  <si>
    <t>Herramienta entorchadora reverSIble 2 X 24</t>
  </si>
  <si>
    <t>No. SuperviSIon</t>
  </si>
  <si>
    <t>Marca Temporal</t>
  </si>
  <si>
    <t>Evaluador / Supervisor de Nacel</t>
  </si>
  <si>
    <t>Visto bueno Jefatura de Instalaciones</t>
  </si>
  <si>
    <t>Calidad Nacel</t>
  </si>
  <si>
    <t>FIRMA___________________</t>
  </si>
  <si>
    <t>FIRMA______________________</t>
  </si>
  <si>
    <t>FIRMA_____________________</t>
  </si>
  <si>
    <t>FIRMA____________</t>
  </si>
  <si>
    <t>MEDICION</t>
  </si>
  <si>
    <t xml:space="preserve">Utilizo medidor (Decibelimetro) subiendo las mediciones al servidor </t>
  </si>
  <si>
    <t xml:space="preserve">Las mediciones son correctas </t>
  </si>
  <si>
    <t>Ingrid Marbella Guerra Ruiz</t>
  </si>
  <si>
    <t>Werner Jafet Estuardo Meoño Rivera</t>
  </si>
  <si>
    <t xml:space="preserve">                  JAFET MEOÑO</t>
  </si>
  <si>
    <t xml:space="preserve">       Ingrid Marbella</t>
  </si>
  <si>
    <t>Junio</t>
  </si>
  <si>
    <t>GT METRO</t>
  </si>
  <si>
    <t>LOURDES</t>
  </si>
  <si>
    <t>Marlon betancurt</t>
  </si>
  <si>
    <t>Brayan Plateros</t>
  </si>
  <si>
    <t>No</t>
  </si>
  <si>
    <t>si</t>
  </si>
  <si>
    <t>NO</t>
  </si>
  <si>
    <t>https://drive.google.com/open?id=1OSqb18fmfEkiaPQVTHm0cz32MkWHMEzk</t>
  </si>
  <si>
    <t>https://drive.google.com/open?id=1l2d_iL_zT-_68JGn6Ra6FA0JiPuNQ_9y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</si>
</sst>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0"/>
      <name val="Arial"/>
      <family val="2"/>
    </font>
    <font>
      <i/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b/>
      <i/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2"/>
      <color rgb="FF00000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i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Dot">
        <color auto="1"/>
      </top>
      <bottom/>
      <diagonal/>
    </border>
    <border>
      <left/>
      <right/>
      <top/>
      <bottom style="dashDotDot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5" fillId="0" borderId="0"/>
    <xf numFmtId="0" fontId="37" fillId="0" borderId="0" applyNumberFormat="0" applyFill="0" applyBorder="0" applyAlignment="0" applyProtection="0"/>
  </cellStyleXfs>
  <cellXfs count="285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0" borderId="20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top" wrapText="1"/>
    </xf>
    <xf numFmtId="0" fontId="8" fillId="0" borderId="0" xfId="0" applyFont="1"/>
    <xf numFmtId="165" fontId="8" fillId="0" borderId="0" xfId="0" applyNumberFormat="1" applyFont="1"/>
    <xf numFmtId="164" fontId="12" fillId="0" borderId="0" xfId="1" applyNumberFormat="1" applyFont="1" applyFill="1" applyBorder="1" applyAlignment="1">
      <alignment horizontal="center" vertical="center" wrapText="1"/>
    </xf>
    <xf numFmtId="0" fontId="16" fillId="0" borderId="0" xfId="0" applyFont="1"/>
    <xf numFmtId="0" fontId="15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0" fontId="8" fillId="0" borderId="33" xfId="0" applyFont="1" applyBorder="1"/>
    <xf numFmtId="0" fontId="17" fillId="0" borderId="0" xfId="0" applyFont="1"/>
    <xf numFmtId="0" fontId="18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9" fillId="3" borderId="0" xfId="0" applyFont="1" applyFill="1" applyAlignment="1">
      <alignment horizontal="center" vertical="center" wrapText="1"/>
    </xf>
    <xf numFmtId="0" fontId="20" fillId="3" borderId="0" xfId="0" applyFont="1" applyFill="1" applyAlignment="1">
      <alignment horizontal="center" vertical="center" wrapText="1"/>
    </xf>
    <xf numFmtId="0" fontId="21" fillId="5" borderId="34" xfId="0" applyFont="1" applyFill="1" applyBorder="1" applyAlignment="1">
      <alignment horizontal="center" vertical="center" wrapText="1"/>
    </xf>
    <xf numFmtId="0" fontId="22" fillId="2" borderId="34" xfId="0" applyFont="1" applyFill="1" applyBorder="1" applyAlignment="1">
      <alignment horizontal="center" vertical="center" wrapText="1"/>
    </xf>
    <xf numFmtId="0" fontId="21" fillId="2" borderId="35" xfId="0" applyFont="1" applyFill="1" applyBorder="1" applyAlignment="1">
      <alignment horizontal="center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left" vertical="center" wrapText="1"/>
    </xf>
    <xf numFmtId="0" fontId="25" fillId="0" borderId="1" xfId="0" applyFont="1" applyBorder="1"/>
    <xf numFmtId="0" fontId="26" fillId="3" borderId="1" xfId="0" applyFont="1" applyFill="1" applyBorder="1" applyAlignment="1">
      <alignment horizontal="left" vertical="center"/>
    </xf>
    <xf numFmtId="0" fontId="26" fillId="3" borderId="37" xfId="0" applyFont="1" applyFill="1" applyBorder="1" applyAlignment="1">
      <alignment horizontal="left" vertical="center"/>
    </xf>
    <xf numFmtId="0" fontId="26" fillId="3" borderId="38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20" fillId="3" borderId="42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right" vertical="center"/>
    </xf>
    <xf numFmtId="0" fontId="21" fillId="2" borderId="34" xfId="0" applyFont="1" applyFill="1" applyBorder="1" applyAlignment="1">
      <alignment horizontal="center" vertical="center" wrapText="1"/>
    </xf>
    <xf numFmtId="0" fontId="20" fillId="3" borderId="43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3" fillId="0" borderId="1" xfId="0" applyFont="1" applyBorder="1" applyAlignment="1">
      <alignment vertical="center" wrapText="1"/>
    </xf>
    <xf numFmtId="0" fontId="23" fillId="0" borderId="1" xfId="0" applyFont="1" applyBorder="1"/>
    <xf numFmtId="0" fontId="33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14" fontId="34" fillId="0" borderId="1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8" xfId="2" applyFont="1" applyFill="1" applyBorder="1" applyAlignment="1">
      <alignment horizontal="center" vertical="center" wrapText="1"/>
    </xf>
    <xf numFmtId="0" fontId="5" fillId="0" borderId="46" xfId="2" applyFont="1" applyBorder="1" applyAlignment="1">
      <alignment horizontal="left" vertical="center"/>
    </xf>
    <xf numFmtId="0" fontId="5" fillId="0" borderId="16" xfId="2" applyFont="1" applyBorder="1" applyAlignment="1">
      <alignment horizontal="left" vertical="center"/>
    </xf>
    <xf numFmtId="0" fontId="6" fillId="0" borderId="7" xfId="2" applyFont="1" applyBorder="1" applyAlignment="1">
      <alignment horizontal="left" vertical="center"/>
    </xf>
    <xf numFmtId="1" fontId="14" fillId="0" borderId="0" xfId="0" applyNumberFormat="1" applyFont="1" applyAlignment="1">
      <alignment horizontal="center"/>
    </xf>
    <xf numFmtId="0" fontId="12" fillId="0" borderId="48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50" xfId="0" applyFont="1" applyBorder="1" applyAlignment="1">
      <alignment horizontal="center" vertical="center" wrapText="1"/>
    </xf>
    <xf numFmtId="9" fontId="0" fillId="0" borderId="0" xfId="1" applyFont="1"/>
    <xf numFmtId="9" fontId="0" fillId="0" borderId="0" xfId="1" applyFont="1" applyBorder="1"/>
    <xf numFmtId="0" fontId="10" fillId="2" borderId="9" xfId="2" applyFont="1" applyFill="1" applyBorder="1" applyAlignment="1">
      <alignment horizontal="center" vertical="center"/>
    </xf>
    <xf numFmtId="0" fontId="29" fillId="3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1" fillId="7" borderId="1" xfId="0" applyFont="1" applyFill="1" applyBorder="1" applyAlignment="1">
      <alignment horizontal="center" vertical="center" wrapText="1"/>
    </xf>
    <xf numFmtId="0" fontId="21" fillId="7" borderId="51" xfId="0" applyFont="1" applyFill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 wrapText="1"/>
    </xf>
    <xf numFmtId="0" fontId="21" fillId="7" borderId="44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7" fillId="0" borderId="47" xfId="3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11" fillId="0" borderId="0" xfId="1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24" fillId="4" borderId="36" xfId="0" applyNumberFormat="1" applyFont="1" applyFill="1" applyBorder="1" applyAlignment="1">
      <alignment horizontal="center" vertical="center" wrapText="1"/>
    </xf>
    <xf numFmtId="1" fontId="24" fillId="4" borderId="34" xfId="0" applyNumberFormat="1" applyFont="1" applyFill="1" applyBorder="1" applyAlignment="1">
      <alignment horizontal="center" vertical="center" wrapText="1"/>
    </xf>
    <xf numFmtId="1" fontId="24" fillId="4" borderId="1" xfId="0" applyNumberFormat="1" applyFont="1" applyFill="1" applyBorder="1" applyAlignment="1">
      <alignment horizontal="center" vertical="center"/>
    </xf>
    <xf numFmtId="1" fontId="24" fillId="4" borderId="1" xfId="0" applyNumberFormat="1" applyFont="1" applyFill="1" applyBorder="1" applyAlignment="1">
      <alignment horizontal="center" vertical="center" wrapText="1"/>
    </xf>
    <xf numFmtId="1" fontId="27" fillId="3" borderId="1" xfId="0" applyNumberFormat="1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1" fontId="31" fillId="4" borderId="1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" fontId="14" fillId="0" borderId="2" xfId="0" applyNumberFormat="1" applyFont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/>
    </xf>
    <xf numFmtId="0" fontId="32" fillId="4" borderId="44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6" fillId="4" borderId="11" xfId="2" applyFont="1" applyFill="1" applyBorder="1" applyAlignment="1">
      <alignment horizontal="center" vertical="center"/>
    </xf>
    <xf numFmtId="0" fontId="36" fillId="4" borderId="15" xfId="2" applyFont="1" applyFill="1" applyBorder="1" applyAlignment="1">
      <alignment horizontal="center" vertical="center"/>
    </xf>
    <xf numFmtId="0" fontId="36" fillId="4" borderId="19" xfId="2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9" borderId="1" xfId="0" applyFill="1" applyBorder="1" applyAlignment="1">
      <alignment horizontal="center" vertical="center" wrapText="1"/>
    </xf>
    <xf numFmtId="14" fontId="0" fillId="8" borderId="0" xfId="0" applyNumberFormat="1" applyFill="1" applyAlignment="1">
      <alignment horizontal="center" vertical="center"/>
    </xf>
    <xf numFmtId="14" fontId="21" fillId="7" borderId="1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6" fillId="0" borderId="23" xfId="0" applyFont="1" applyBorder="1" applyAlignment="1">
      <alignment vertical="top" wrapText="1"/>
    </xf>
    <xf numFmtId="0" fontId="6" fillId="0" borderId="29" xfId="0" applyFont="1" applyBorder="1" applyAlignment="1">
      <alignment vertical="top" wrapText="1"/>
    </xf>
    <xf numFmtId="0" fontId="6" fillId="0" borderId="30" xfId="0" applyFont="1" applyBorder="1" applyAlignment="1">
      <alignment vertical="top" wrapText="1"/>
    </xf>
    <xf numFmtId="0" fontId="6" fillId="0" borderId="21" xfId="0" applyFont="1" applyBorder="1" applyAlignment="1">
      <alignment vertical="top" wrapText="1"/>
    </xf>
    <xf numFmtId="0" fontId="6" fillId="0" borderId="26" xfId="0" applyFont="1" applyBorder="1" applyAlignment="1">
      <alignment vertical="top" wrapText="1"/>
    </xf>
    <xf numFmtId="0" fontId="0" fillId="6" borderId="0" xfId="0" applyFill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0" fillId="0" borderId="33" xfId="0" applyBorder="1"/>
    <xf numFmtId="0" fontId="8" fillId="0" borderId="37" xfId="0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8" fillId="0" borderId="39" xfId="0" applyFont="1" applyBorder="1" applyAlignment="1">
      <alignment vertical="top"/>
    </xf>
    <xf numFmtId="0" fontId="8" fillId="0" borderId="40" xfId="0" applyFont="1" applyBorder="1" applyAlignment="1">
      <alignment vertical="top"/>
    </xf>
    <xf numFmtId="0" fontId="8" fillId="0" borderId="33" xfId="0" applyFont="1" applyBorder="1" applyAlignment="1">
      <alignment vertical="top"/>
    </xf>
    <xf numFmtId="0" fontId="8" fillId="0" borderId="41" xfId="0" applyFont="1" applyBorder="1" applyAlignment="1">
      <alignment vertical="top"/>
    </xf>
    <xf numFmtId="0" fontId="5" fillId="0" borderId="16" xfId="2" applyFont="1" applyBorder="1" applyAlignment="1">
      <alignment horizontal="left" vertical="center" wrapText="1"/>
    </xf>
    <xf numFmtId="0" fontId="15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5" fillId="0" borderId="33" xfId="0" applyFont="1" applyBorder="1" applyAlignment="1">
      <alignment horizontal="lef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5" fillId="0" borderId="33" xfId="0" applyFont="1" applyBorder="1" applyAlignment="1">
      <alignment horizontal="right"/>
    </xf>
    <xf numFmtId="0" fontId="6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0" fontId="6" fillId="0" borderId="39" xfId="0" applyFont="1" applyBorder="1" applyAlignment="1">
      <alignment vertical="center"/>
    </xf>
    <xf numFmtId="14" fontId="6" fillId="0" borderId="0" xfId="0" applyNumberFormat="1" applyFont="1" applyAlignment="1">
      <alignment horizontal="center" vertical="center"/>
    </xf>
    <xf numFmtId="0" fontId="37" fillId="0" borderId="0" xfId="3"/>
    <xf numFmtId="0" fontId="5" fillId="0" borderId="1" xfId="0" applyFont="1" applyBorder="1" applyAlignment="1">
      <alignment horizontal="center" vertical="center"/>
    </xf>
    <xf numFmtId="0" fontId="34" fillId="9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5" fillId="0" borderId="20" xfId="2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4" fontId="25" fillId="0" borderId="47" xfId="0" applyNumberFormat="1" applyFont="1" applyBorder="1" applyAlignment="1">
      <alignment horizontal="center" vertical="center" wrapText="1"/>
    </xf>
    <xf numFmtId="0" fontId="37" fillId="0" borderId="47" xfId="3" applyFill="1" applyBorder="1" applyAlignment="1">
      <alignment horizontal="left" vertical="center" wrapText="1"/>
    </xf>
    <xf numFmtId="0" fontId="8" fillId="0" borderId="38" xfId="0" applyFont="1" applyBorder="1" applyAlignment="1">
      <alignment vertical="top"/>
    </xf>
    <xf numFmtId="0" fontId="21" fillId="10" borderId="1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3" fillId="3" borderId="8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horizontal="left" vertical="top" wrapText="1"/>
    </xf>
    <xf numFmtId="164" fontId="11" fillId="0" borderId="8" xfId="1" applyNumberFormat="1" applyFont="1" applyFill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1" fillId="0" borderId="11" xfId="1" applyNumberFormat="1" applyFont="1" applyFill="1" applyBorder="1" applyAlignment="1">
      <alignment horizontal="center" vertical="center" wrapText="1"/>
    </xf>
    <xf numFmtId="0" fontId="11" fillId="0" borderId="15" xfId="1" applyNumberFormat="1" applyFont="1" applyFill="1" applyBorder="1" applyAlignment="1">
      <alignment horizontal="center" vertical="center" wrapText="1"/>
    </xf>
    <xf numFmtId="0" fontId="11" fillId="0" borderId="19" xfId="1" applyNumberFormat="1" applyFont="1" applyFill="1" applyBorder="1" applyAlignment="1">
      <alignment horizontal="center" vertical="center" wrapText="1"/>
    </xf>
    <xf numFmtId="0" fontId="11" fillId="0" borderId="24" xfId="1" applyNumberFormat="1" applyFont="1" applyFill="1" applyBorder="1" applyAlignment="1">
      <alignment horizontal="center" vertical="center" wrapText="1"/>
    </xf>
    <xf numFmtId="0" fontId="11" fillId="0" borderId="25" xfId="1" applyNumberFormat="1" applyFont="1" applyFill="1" applyBorder="1" applyAlignment="1">
      <alignment horizontal="center" vertical="center" wrapText="1"/>
    </xf>
    <xf numFmtId="0" fontId="11" fillId="0" borderId="27" xfId="1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1" fontId="11" fillId="0" borderId="12" xfId="1" applyNumberFormat="1" applyFont="1" applyFill="1" applyBorder="1" applyAlignment="1">
      <alignment horizontal="center" vertical="center"/>
    </xf>
    <xf numFmtId="1" fontId="11" fillId="0" borderId="20" xfId="1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1" fillId="0" borderId="12" xfId="1" applyNumberFormat="1" applyFont="1" applyFill="1" applyBorder="1" applyAlignment="1">
      <alignment horizontal="center" vertical="center" wrapText="1"/>
    </xf>
    <xf numFmtId="0" fontId="11" fillId="0" borderId="16" xfId="1" applyNumberFormat="1" applyFont="1" applyFill="1" applyBorder="1" applyAlignment="1">
      <alignment horizontal="center" vertical="center" wrapText="1"/>
    </xf>
    <xf numFmtId="0" fontId="11" fillId="0" borderId="20" xfId="1" applyNumberFormat="1" applyFont="1" applyFill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9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9" borderId="4" xfId="0" applyFont="1" applyFill="1" applyBorder="1" applyAlignment="1">
      <alignment vertical="center" wrapText="1"/>
    </xf>
    <xf numFmtId="0" fontId="34" fillId="9" borderId="3" xfId="0" applyFont="1" applyFill="1" applyBorder="1" applyAlignment="1">
      <alignment vertical="center"/>
    </xf>
    <xf numFmtId="14" fontId="25" fillId="0" borderId="47" xfId="0" applyNumberFormat="1" applyFont="1" applyBorder="1" applyAlignment="1">
      <alignment horizontal="center" vertical="center"/>
    </xf>
    <xf numFmtId="0" fontId="25" fillId="0" borderId="47" xfId="0" applyFont="1" applyBorder="1" applyAlignment="1">
      <alignment horizontal="center" vertical="center"/>
    </xf>
    <xf numFmtId="0" fontId="37" fillId="0" borderId="47" xfId="3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11" fillId="0" borderId="10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18" xfId="0" applyFont="1" applyBorder="1" applyAlignment="1">
      <alignment horizontal="left" vertical="top" wrapText="1"/>
    </xf>
    <xf numFmtId="0" fontId="38" fillId="0" borderId="0" xfId="0" applyFont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left" vertical="center" wrapText="1"/>
    </xf>
    <xf numFmtId="0" fontId="11" fillId="0" borderId="10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27" xfId="0" applyFont="1" applyBorder="1" applyAlignment="1">
      <alignment horizontal="left" vertical="center" wrapText="1"/>
    </xf>
    <xf numFmtId="0" fontId="11" fillId="0" borderId="18" xfId="0" applyFont="1" applyBorder="1" applyAlignment="1">
      <alignment horizontal="left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0" fontId="9" fillId="2" borderId="29" xfId="0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left" vertical="center"/>
    </xf>
    <xf numFmtId="0" fontId="11" fillId="0" borderId="18" xfId="0" applyFont="1" applyBorder="1" applyAlignment="1">
      <alignment horizontal="left" vertical="center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17" xfId="0" applyNumberFormat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1" fillId="0" borderId="4" xfId="0" applyFont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56" xfId="0" applyFont="1" applyBorder="1" applyAlignment="1">
      <alignment horizontal="left" vertical="center" wrapText="1"/>
    </xf>
    <xf numFmtId="0" fontId="11" fillId="0" borderId="54" xfId="0" applyFont="1" applyBorder="1" applyAlignment="1">
      <alignment horizontal="left" vertical="center" wrapText="1"/>
    </xf>
    <xf numFmtId="0" fontId="11" fillId="0" borderId="58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top" wrapText="1"/>
    </xf>
    <xf numFmtId="0" fontId="6" fillId="0" borderId="22" xfId="0" applyFont="1" applyBorder="1" applyAlignment="1">
      <alignment horizontal="center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11" fillId="0" borderId="55" xfId="0" applyFont="1" applyBorder="1" applyAlignment="1">
      <alignment horizontal="left" vertical="center" wrapText="1"/>
    </xf>
    <xf numFmtId="0" fontId="11" fillId="0" borderId="53" xfId="0" applyFont="1" applyBorder="1" applyAlignment="1">
      <alignment horizontal="left" vertical="center" wrapText="1"/>
    </xf>
    <xf numFmtId="0" fontId="11" fillId="0" borderId="57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8" fillId="0" borderId="5" xfId="0" applyFont="1" applyBorder="1" applyAlignment="1">
      <alignment horizontal="center" vertical="top"/>
    </xf>
    <xf numFmtId="0" fontId="29" fillId="3" borderId="9" xfId="0" applyFont="1" applyFill="1" applyBorder="1" applyAlignment="1">
      <alignment horizontal="left" vertical="center"/>
    </xf>
    <xf numFmtId="0" fontId="29" fillId="3" borderId="13" xfId="0" applyFont="1" applyFill="1" applyBorder="1" applyAlignment="1">
      <alignment horizontal="left" vertical="center"/>
    </xf>
    <xf numFmtId="0" fontId="29" fillId="3" borderId="17" xfId="0" applyFont="1" applyFill="1" applyBorder="1" applyAlignment="1">
      <alignment horizontal="left" vertical="center"/>
    </xf>
    <xf numFmtId="1" fontId="14" fillId="0" borderId="9" xfId="0" applyNumberFormat="1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7" xfId="0" applyNumberFormat="1" applyFont="1" applyBorder="1" applyAlignment="1">
      <alignment horizontal="center" vertical="center"/>
    </xf>
    <xf numFmtId="0" fontId="8" fillId="0" borderId="37" xfId="0" applyFont="1" applyBorder="1" applyAlignment="1">
      <alignment horizontal="left" vertical="top"/>
    </xf>
    <xf numFmtId="0" fontId="8" fillId="0" borderId="2" xfId="0" applyFont="1" applyBorder="1" applyAlignment="1">
      <alignment horizontal="left" vertical="top"/>
    </xf>
    <xf numFmtId="0" fontId="8" fillId="0" borderId="39" xfId="0" applyFont="1" applyBorder="1" applyAlignment="1">
      <alignment horizontal="left" vertical="top"/>
    </xf>
    <xf numFmtId="0" fontId="8" fillId="0" borderId="38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0" borderId="5" xfId="0" applyFont="1" applyBorder="1" applyAlignment="1">
      <alignment horizontal="left" vertical="top"/>
    </xf>
    <xf numFmtId="0" fontId="8" fillId="0" borderId="40" xfId="0" applyFont="1" applyBorder="1" applyAlignment="1">
      <alignment horizontal="left" vertical="top"/>
    </xf>
    <xf numFmtId="0" fontId="8" fillId="0" borderId="33" xfId="0" applyFont="1" applyBorder="1" applyAlignment="1">
      <alignment horizontal="left" vertical="top"/>
    </xf>
    <xf numFmtId="0" fontId="8" fillId="0" borderId="41" xfId="0" applyFont="1" applyBorder="1" applyAlignment="1">
      <alignment horizontal="left" vertical="top"/>
    </xf>
    <xf numFmtId="0" fontId="38" fillId="0" borderId="0" xfId="0" applyFont="1" applyAlignment="1">
      <alignment horizontal="right"/>
    </xf>
    <xf numFmtId="0" fontId="32" fillId="0" borderId="3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top"/>
    </xf>
    <xf numFmtId="0" fontId="8" fillId="0" borderId="39" xfId="0" applyFont="1" applyBorder="1" applyAlignment="1">
      <alignment horizontal="center" vertical="top"/>
    </xf>
    <xf numFmtId="0" fontId="8" fillId="0" borderId="33" xfId="0" applyFont="1" applyBorder="1" applyAlignment="1">
      <alignment horizontal="center" vertical="top"/>
    </xf>
    <xf numFmtId="0" fontId="8" fillId="0" borderId="41" xfId="0" applyFont="1" applyBorder="1" applyAlignment="1">
      <alignment horizontal="center" vertical="top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/>
    </xf>
  </cellXfs>
  <cellStyles count="4">
    <cellStyle name="Hipervínculo" xfId="3" builtinId="8"/>
    <cellStyle name="Normal" xfId="0" builtinId="0"/>
    <cellStyle name="Normal 2" xfId="2" xr:uid="{00000000-0005-0000-0000-000002000000}"/>
    <cellStyle name="Porcentaje" xfId="1" builtinId="5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360913</xdr:colOff>
      <xdr:row>59</xdr:row>
      <xdr:rowOff>151005</xdr:rowOff>
    </xdr:from>
    <xdr:to>
      <xdr:col>3</xdr:col>
      <xdr:colOff>256726</xdr:colOff>
      <xdr:row>63</xdr:row>
      <xdr:rowOff>82131</xdr:rowOff>
    </xdr:to>
    <xdr:pic>
      <xdr:nvPicPr>
        <xdr:cNvPr id="6" name="7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60913" y="14718652"/>
          <a:ext cx="2820548" cy="906037"/>
        </a:xfrm>
        <a:prstGeom prst="rect">
          <a:avLst/>
        </a:prstGeom>
      </xdr:spPr>
    </xdr:pic>
    <xdr:clientData/>
  </xdr:twoCellAnchor>
  <xdr:twoCellAnchor>
    <xdr:from>
      <xdr:col>0</xdr:col>
      <xdr:colOff>986117</xdr:colOff>
      <xdr:row>65</xdr:row>
      <xdr:rowOff>169022</xdr:rowOff>
    </xdr:from>
    <xdr:to>
      <xdr:col>10</xdr:col>
      <xdr:colOff>56028</xdr:colOff>
      <xdr:row>99</xdr:row>
      <xdr:rowOff>42023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86117" y="16092581"/>
          <a:ext cx="7463117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338501</xdr:colOff>
      <xdr:row>104</xdr:row>
      <xdr:rowOff>94977</xdr:rowOff>
    </xdr:from>
    <xdr:to>
      <xdr:col>3</xdr:col>
      <xdr:colOff>234314</xdr:colOff>
      <xdr:row>108</xdr:row>
      <xdr:rowOff>26102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38501" y="23448036"/>
          <a:ext cx="2820548" cy="906037"/>
        </a:xfrm>
        <a:prstGeom prst="rect">
          <a:avLst/>
        </a:prstGeom>
      </xdr:spPr>
    </xdr:pic>
    <xdr:clientData/>
  </xdr:twoCellAnchor>
  <xdr:twoCellAnchor>
    <xdr:from>
      <xdr:col>0</xdr:col>
      <xdr:colOff>986117</xdr:colOff>
      <xdr:row>109</xdr:row>
      <xdr:rowOff>135404</xdr:rowOff>
    </xdr:from>
    <xdr:to>
      <xdr:col>9</xdr:col>
      <xdr:colOff>638734</xdr:colOff>
      <xdr:row>143</xdr:row>
      <xdr:rowOff>8405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6117" y="24653875"/>
          <a:ext cx="7261411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67224</xdr:colOff>
      <xdr:row>0</xdr:row>
      <xdr:rowOff>56029</xdr:rowOff>
    </xdr:from>
    <xdr:to>
      <xdr:col>1</xdr:col>
      <xdr:colOff>414617</xdr:colOff>
      <xdr:row>1</xdr:row>
      <xdr:rowOff>89934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67224" y="56029"/>
          <a:ext cx="1333511" cy="370081"/>
        </a:xfrm>
        <a:prstGeom prst="rect">
          <a:avLst/>
        </a:prstGeom>
      </xdr:spPr>
    </xdr:pic>
    <xdr:clientData/>
  </xdr:twoCellAnchor>
  <xdr:oneCellAnchor>
    <xdr:from>
      <xdr:col>0</xdr:col>
      <xdr:colOff>316089</xdr:colOff>
      <xdr:row>148</xdr:row>
      <xdr:rowOff>5329</xdr:rowOff>
    </xdr:from>
    <xdr:ext cx="2820548" cy="906037"/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16089" y="31953300"/>
          <a:ext cx="2820548" cy="906037"/>
        </a:xfrm>
        <a:prstGeom prst="rect">
          <a:avLst/>
        </a:prstGeom>
      </xdr:spPr>
    </xdr:pic>
    <xdr:clientData/>
  </xdr:oneCellAnchor>
  <xdr:twoCellAnchor>
    <xdr:from>
      <xdr:col>0</xdr:col>
      <xdr:colOff>986117</xdr:colOff>
      <xdr:row>153</xdr:row>
      <xdr:rowOff>169022</xdr:rowOff>
    </xdr:from>
    <xdr:to>
      <xdr:col>9</xdr:col>
      <xdr:colOff>582706</xdr:colOff>
      <xdr:row>187</xdr:row>
      <xdr:rowOff>42023</xdr:rowOff>
    </xdr:to>
    <xdr:sp macro="" textlink="">
      <xdr:nvSpPr>
        <xdr:cNvPr id="13" name="Rectángulo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6117" y="33282404"/>
          <a:ext cx="7205383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</xdr:row>
          <xdr:rowOff>85725</xdr:rowOff>
        </xdr:from>
        <xdr:to>
          <xdr:col>9</xdr:col>
          <xdr:colOff>142875</xdr:colOff>
          <xdr:row>5</xdr:row>
          <xdr:rowOff>466725</xdr:rowOff>
        </xdr:to>
        <xdr:sp macro="" textlink="">
          <xdr:nvSpPr>
            <xdr:cNvPr id="3073" name="CB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1457325</xdr:colOff>
      <xdr:row>29</xdr:row>
      <xdr:rowOff>57150</xdr:rowOff>
    </xdr:from>
    <xdr:to>
      <xdr:col>1</xdr:col>
      <xdr:colOff>1781175</xdr:colOff>
      <xdr:row>30</xdr:row>
      <xdr:rowOff>123825</xdr:rowOff>
    </xdr:to>
    <xdr:sp macro="" textlink="">
      <xdr:nvSpPr>
        <xdr:cNvPr id="2" name="Pho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EditPoints="1" noChangeArrowheads="1"/>
        </xdr:cNvSpPr>
      </xdr:nvSpPr>
      <xdr:spPr bwMode="auto">
        <a:xfrm>
          <a:off x="3343275" y="5715000"/>
          <a:ext cx="323850" cy="228600"/>
        </a:xfrm>
        <a:custGeom>
          <a:avLst/>
          <a:gdLst>
            <a:gd name="T0" fmla="*/ 0 w 21600"/>
            <a:gd name="T1" fmla="*/ 3085 h 21600"/>
            <a:gd name="T2" fmla="*/ 10800 w 21600"/>
            <a:gd name="T3" fmla="*/ 0 h 21600"/>
            <a:gd name="T4" fmla="*/ 21600 w 21600"/>
            <a:gd name="T5" fmla="*/ 3085 h 21600"/>
            <a:gd name="T6" fmla="*/ 21600 w 21600"/>
            <a:gd name="T7" fmla="*/ 10800 h 21600"/>
            <a:gd name="T8" fmla="*/ 21600 w 21600"/>
            <a:gd name="T9" fmla="*/ 21600 h 21600"/>
            <a:gd name="T10" fmla="*/ 10800 w 21600"/>
            <a:gd name="T11" fmla="*/ 21800 h 21600"/>
            <a:gd name="T12" fmla="*/ 0 w 21600"/>
            <a:gd name="T13" fmla="*/ 21600 h 21600"/>
            <a:gd name="T14" fmla="*/ 0 w 21600"/>
            <a:gd name="T15" fmla="*/ 10800 h 21600"/>
            <a:gd name="T16" fmla="*/ 761 w 21600"/>
            <a:gd name="T17" fmla="*/ 22454 h 21600"/>
            <a:gd name="T18" fmla="*/ 21069 w 21600"/>
            <a:gd name="T19" fmla="*/ 30282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 extrusionOk="0">
              <a:moveTo>
                <a:pt x="0" y="21600"/>
              </a:moveTo>
              <a:lnTo>
                <a:pt x="0" y="3085"/>
              </a:lnTo>
              <a:lnTo>
                <a:pt x="1542" y="3085"/>
              </a:lnTo>
              <a:lnTo>
                <a:pt x="1542" y="1028"/>
              </a:lnTo>
              <a:lnTo>
                <a:pt x="3857" y="1028"/>
              </a:lnTo>
              <a:lnTo>
                <a:pt x="3857" y="3085"/>
              </a:lnTo>
              <a:lnTo>
                <a:pt x="5400" y="3085"/>
              </a:lnTo>
              <a:lnTo>
                <a:pt x="6942" y="0"/>
              </a:lnTo>
              <a:lnTo>
                <a:pt x="14657" y="0"/>
              </a:lnTo>
              <a:lnTo>
                <a:pt x="16200" y="3085"/>
              </a:lnTo>
              <a:lnTo>
                <a:pt x="21600" y="3085"/>
              </a:lnTo>
              <a:lnTo>
                <a:pt x="21600" y="21600"/>
              </a:lnTo>
              <a:lnTo>
                <a:pt x="0" y="21600"/>
              </a:lnTo>
              <a:close/>
            </a:path>
            <a:path w="21600" h="21600" extrusionOk="0">
              <a:moveTo>
                <a:pt x="0" y="3085"/>
              </a:moveTo>
              <a:lnTo>
                <a:pt x="21600" y="3085"/>
              </a:lnTo>
              <a:lnTo>
                <a:pt x="21600" y="21600"/>
              </a:lnTo>
              <a:lnTo>
                <a:pt x="0" y="21600"/>
              </a:lnTo>
              <a:lnTo>
                <a:pt x="0" y="3085"/>
              </a:lnTo>
              <a:close/>
            </a:path>
            <a:path w="21600" h="21600" extrusionOk="0">
              <a:moveTo>
                <a:pt x="10800" y="4800"/>
              </a:moveTo>
              <a:lnTo>
                <a:pt x="11925" y="4971"/>
              </a:lnTo>
              <a:lnTo>
                <a:pt x="13017" y="5442"/>
              </a:lnTo>
              <a:lnTo>
                <a:pt x="14046" y="6128"/>
              </a:lnTo>
              <a:lnTo>
                <a:pt x="14914" y="7071"/>
              </a:lnTo>
              <a:lnTo>
                <a:pt x="15621" y="8271"/>
              </a:lnTo>
              <a:lnTo>
                <a:pt x="16167" y="9514"/>
              </a:lnTo>
              <a:lnTo>
                <a:pt x="16425" y="11014"/>
              </a:lnTo>
              <a:lnTo>
                <a:pt x="16585" y="12471"/>
              </a:lnTo>
              <a:lnTo>
                <a:pt x="16489" y="14014"/>
              </a:lnTo>
              <a:lnTo>
                <a:pt x="16135" y="15471"/>
              </a:lnTo>
              <a:lnTo>
                <a:pt x="15621" y="16800"/>
              </a:lnTo>
              <a:lnTo>
                <a:pt x="14914" y="18000"/>
              </a:lnTo>
              <a:lnTo>
                <a:pt x="14046" y="18942"/>
              </a:lnTo>
              <a:lnTo>
                <a:pt x="13050" y="19671"/>
              </a:lnTo>
              <a:lnTo>
                <a:pt x="11925" y="20057"/>
              </a:lnTo>
              <a:lnTo>
                <a:pt x="10832" y="20185"/>
              </a:lnTo>
              <a:lnTo>
                <a:pt x="9675" y="20142"/>
              </a:lnTo>
              <a:lnTo>
                <a:pt x="8582" y="19628"/>
              </a:lnTo>
              <a:lnTo>
                <a:pt x="7553" y="18942"/>
              </a:lnTo>
              <a:lnTo>
                <a:pt x="6717" y="17957"/>
              </a:lnTo>
              <a:lnTo>
                <a:pt x="5946" y="16842"/>
              </a:lnTo>
              <a:lnTo>
                <a:pt x="5464" y="15514"/>
              </a:lnTo>
              <a:lnTo>
                <a:pt x="5078" y="14014"/>
              </a:lnTo>
              <a:lnTo>
                <a:pt x="5014" y="12514"/>
              </a:lnTo>
              <a:lnTo>
                <a:pt x="5110" y="11014"/>
              </a:lnTo>
              <a:lnTo>
                <a:pt x="5528" y="9557"/>
              </a:lnTo>
              <a:lnTo>
                <a:pt x="6010" y="8228"/>
              </a:lnTo>
              <a:lnTo>
                <a:pt x="6750" y="7114"/>
              </a:lnTo>
              <a:lnTo>
                <a:pt x="7650" y="6085"/>
              </a:lnTo>
              <a:lnTo>
                <a:pt x="8614" y="5400"/>
              </a:lnTo>
              <a:lnTo>
                <a:pt x="9707" y="4971"/>
              </a:lnTo>
              <a:lnTo>
                <a:pt x="10800" y="4800"/>
              </a:lnTo>
              <a:close/>
            </a:path>
            <a:path w="21600" h="21600" extrusionOk="0">
              <a:moveTo>
                <a:pt x="8003" y="8057"/>
              </a:moveTo>
              <a:lnTo>
                <a:pt x="8807" y="7371"/>
              </a:lnTo>
              <a:lnTo>
                <a:pt x="9546" y="6985"/>
              </a:lnTo>
              <a:lnTo>
                <a:pt x="10446" y="6771"/>
              </a:lnTo>
              <a:lnTo>
                <a:pt x="11217" y="6771"/>
              </a:lnTo>
              <a:lnTo>
                <a:pt x="12053" y="7028"/>
              </a:lnTo>
              <a:lnTo>
                <a:pt x="12889" y="7457"/>
              </a:lnTo>
              <a:lnTo>
                <a:pt x="13628" y="8100"/>
              </a:lnTo>
              <a:lnTo>
                <a:pt x="14175" y="8871"/>
              </a:lnTo>
              <a:lnTo>
                <a:pt x="14625" y="9814"/>
              </a:lnTo>
              <a:lnTo>
                <a:pt x="14978" y="10885"/>
              </a:lnTo>
              <a:lnTo>
                <a:pt x="15171" y="12042"/>
              </a:lnTo>
              <a:lnTo>
                <a:pt x="15107" y="13114"/>
              </a:lnTo>
              <a:lnTo>
                <a:pt x="15042" y="14228"/>
              </a:lnTo>
              <a:lnTo>
                <a:pt x="14689" y="15257"/>
              </a:lnTo>
              <a:lnTo>
                <a:pt x="14207" y="16285"/>
              </a:lnTo>
              <a:lnTo>
                <a:pt x="13596" y="17057"/>
              </a:lnTo>
              <a:lnTo>
                <a:pt x="12889" y="17657"/>
              </a:lnTo>
              <a:lnTo>
                <a:pt x="12053" y="18085"/>
              </a:lnTo>
              <a:lnTo>
                <a:pt x="11185" y="18257"/>
              </a:lnTo>
              <a:lnTo>
                <a:pt x="10414" y="18214"/>
              </a:lnTo>
              <a:lnTo>
                <a:pt x="9546" y="18042"/>
              </a:lnTo>
              <a:lnTo>
                <a:pt x="8742" y="17614"/>
              </a:lnTo>
              <a:lnTo>
                <a:pt x="8003" y="17014"/>
              </a:lnTo>
              <a:lnTo>
                <a:pt x="7457" y="16242"/>
              </a:lnTo>
              <a:lnTo>
                <a:pt x="6975" y="15257"/>
              </a:lnTo>
              <a:lnTo>
                <a:pt x="6653" y="14142"/>
              </a:lnTo>
              <a:lnTo>
                <a:pt x="6492" y="13114"/>
              </a:lnTo>
              <a:lnTo>
                <a:pt x="6525" y="11914"/>
              </a:lnTo>
              <a:lnTo>
                <a:pt x="6621" y="10842"/>
              </a:lnTo>
              <a:lnTo>
                <a:pt x="6942" y="9771"/>
              </a:lnTo>
              <a:lnTo>
                <a:pt x="7457" y="8785"/>
              </a:lnTo>
              <a:lnTo>
                <a:pt x="8003" y="8057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1457325</xdr:colOff>
      <xdr:row>50</xdr:row>
      <xdr:rowOff>57150</xdr:rowOff>
    </xdr:from>
    <xdr:to>
      <xdr:col>1</xdr:col>
      <xdr:colOff>1781175</xdr:colOff>
      <xdr:row>51</xdr:row>
      <xdr:rowOff>123825</xdr:rowOff>
    </xdr:to>
    <xdr:sp macro="" textlink="">
      <xdr:nvSpPr>
        <xdr:cNvPr id="3" name="Pho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EditPoints="1" noChangeArrowheads="1"/>
        </xdr:cNvSpPr>
      </xdr:nvSpPr>
      <xdr:spPr bwMode="auto">
        <a:xfrm>
          <a:off x="3343275" y="9344025"/>
          <a:ext cx="323850" cy="228600"/>
        </a:xfrm>
        <a:custGeom>
          <a:avLst/>
          <a:gdLst>
            <a:gd name="T0" fmla="*/ 0 w 21600"/>
            <a:gd name="T1" fmla="*/ 3085 h 21600"/>
            <a:gd name="T2" fmla="*/ 10800 w 21600"/>
            <a:gd name="T3" fmla="*/ 0 h 21600"/>
            <a:gd name="T4" fmla="*/ 21600 w 21600"/>
            <a:gd name="T5" fmla="*/ 3085 h 21600"/>
            <a:gd name="T6" fmla="*/ 21600 w 21600"/>
            <a:gd name="T7" fmla="*/ 10800 h 21600"/>
            <a:gd name="T8" fmla="*/ 21600 w 21600"/>
            <a:gd name="T9" fmla="*/ 21600 h 21600"/>
            <a:gd name="T10" fmla="*/ 10800 w 21600"/>
            <a:gd name="T11" fmla="*/ 21800 h 21600"/>
            <a:gd name="T12" fmla="*/ 0 w 21600"/>
            <a:gd name="T13" fmla="*/ 21600 h 21600"/>
            <a:gd name="T14" fmla="*/ 0 w 21600"/>
            <a:gd name="T15" fmla="*/ 10800 h 21600"/>
            <a:gd name="T16" fmla="*/ 761 w 21600"/>
            <a:gd name="T17" fmla="*/ 22454 h 21600"/>
            <a:gd name="T18" fmla="*/ 21069 w 21600"/>
            <a:gd name="T19" fmla="*/ 30282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 extrusionOk="0">
              <a:moveTo>
                <a:pt x="0" y="21600"/>
              </a:moveTo>
              <a:lnTo>
                <a:pt x="0" y="3085"/>
              </a:lnTo>
              <a:lnTo>
                <a:pt x="1542" y="3085"/>
              </a:lnTo>
              <a:lnTo>
                <a:pt x="1542" y="1028"/>
              </a:lnTo>
              <a:lnTo>
                <a:pt x="3857" y="1028"/>
              </a:lnTo>
              <a:lnTo>
                <a:pt x="3857" y="3085"/>
              </a:lnTo>
              <a:lnTo>
                <a:pt x="5400" y="3085"/>
              </a:lnTo>
              <a:lnTo>
                <a:pt x="6942" y="0"/>
              </a:lnTo>
              <a:lnTo>
                <a:pt x="14657" y="0"/>
              </a:lnTo>
              <a:lnTo>
                <a:pt x="16200" y="3085"/>
              </a:lnTo>
              <a:lnTo>
                <a:pt x="21600" y="3085"/>
              </a:lnTo>
              <a:lnTo>
                <a:pt x="21600" y="21600"/>
              </a:lnTo>
              <a:lnTo>
                <a:pt x="0" y="21600"/>
              </a:lnTo>
              <a:close/>
            </a:path>
            <a:path w="21600" h="21600" extrusionOk="0">
              <a:moveTo>
                <a:pt x="0" y="3085"/>
              </a:moveTo>
              <a:lnTo>
                <a:pt x="21600" y="3085"/>
              </a:lnTo>
              <a:lnTo>
                <a:pt x="21600" y="21600"/>
              </a:lnTo>
              <a:lnTo>
                <a:pt x="0" y="21600"/>
              </a:lnTo>
              <a:lnTo>
                <a:pt x="0" y="3085"/>
              </a:lnTo>
              <a:close/>
            </a:path>
            <a:path w="21600" h="21600" extrusionOk="0">
              <a:moveTo>
                <a:pt x="10800" y="4800"/>
              </a:moveTo>
              <a:lnTo>
                <a:pt x="11925" y="4971"/>
              </a:lnTo>
              <a:lnTo>
                <a:pt x="13017" y="5442"/>
              </a:lnTo>
              <a:lnTo>
                <a:pt x="14046" y="6128"/>
              </a:lnTo>
              <a:lnTo>
                <a:pt x="14914" y="7071"/>
              </a:lnTo>
              <a:lnTo>
                <a:pt x="15621" y="8271"/>
              </a:lnTo>
              <a:lnTo>
                <a:pt x="16167" y="9514"/>
              </a:lnTo>
              <a:lnTo>
                <a:pt x="16425" y="11014"/>
              </a:lnTo>
              <a:lnTo>
                <a:pt x="16585" y="12471"/>
              </a:lnTo>
              <a:lnTo>
                <a:pt x="16489" y="14014"/>
              </a:lnTo>
              <a:lnTo>
                <a:pt x="16135" y="15471"/>
              </a:lnTo>
              <a:lnTo>
                <a:pt x="15621" y="16800"/>
              </a:lnTo>
              <a:lnTo>
                <a:pt x="14914" y="18000"/>
              </a:lnTo>
              <a:lnTo>
                <a:pt x="14046" y="18942"/>
              </a:lnTo>
              <a:lnTo>
                <a:pt x="13050" y="19671"/>
              </a:lnTo>
              <a:lnTo>
                <a:pt x="11925" y="20057"/>
              </a:lnTo>
              <a:lnTo>
                <a:pt x="10832" y="20185"/>
              </a:lnTo>
              <a:lnTo>
                <a:pt x="9675" y="20142"/>
              </a:lnTo>
              <a:lnTo>
                <a:pt x="8582" y="19628"/>
              </a:lnTo>
              <a:lnTo>
                <a:pt x="7553" y="18942"/>
              </a:lnTo>
              <a:lnTo>
                <a:pt x="6717" y="17957"/>
              </a:lnTo>
              <a:lnTo>
                <a:pt x="5946" y="16842"/>
              </a:lnTo>
              <a:lnTo>
                <a:pt x="5464" y="15514"/>
              </a:lnTo>
              <a:lnTo>
                <a:pt x="5078" y="14014"/>
              </a:lnTo>
              <a:lnTo>
                <a:pt x="5014" y="12514"/>
              </a:lnTo>
              <a:lnTo>
                <a:pt x="5110" y="11014"/>
              </a:lnTo>
              <a:lnTo>
                <a:pt x="5528" y="9557"/>
              </a:lnTo>
              <a:lnTo>
                <a:pt x="6010" y="8228"/>
              </a:lnTo>
              <a:lnTo>
                <a:pt x="6750" y="7114"/>
              </a:lnTo>
              <a:lnTo>
                <a:pt x="7650" y="6085"/>
              </a:lnTo>
              <a:lnTo>
                <a:pt x="8614" y="5400"/>
              </a:lnTo>
              <a:lnTo>
                <a:pt x="9707" y="4971"/>
              </a:lnTo>
              <a:lnTo>
                <a:pt x="10800" y="4800"/>
              </a:lnTo>
              <a:close/>
            </a:path>
            <a:path w="21600" h="21600" extrusionOk="0">
              <a:moveTo>
                <a:pt x="8003" y="8057"/>
              </a:moveTo>
              <a:lnTo>
                <a:pt x="8807" y="7371"/>
              </a:lnTo>
              <a:lnTo>
                <a:pt x="9546" y="6985"/>
              </a:lnTo>
              <a:lnTo>
                <a:pt x="10446" y="6771"/>
              </a:lnTo>
              <a:lnTo>
                <a:pt x="11217" y="6771"/>
              </a:lnTo>
              <a:lnTo>
                <a:pt x="12053" y="7028"/>
              </a:lnTo>
              <a:lnTo>
                <a:pt x="12889" y="7457"/>
              </a:lnTo>
              <a:lnTo>
                <a:pt x="13628" y="8100"/>
              </a:lnTo>
              <a:lnTo>
                <a:pt x="14175" y="8871"/>
              </a:lnTo>
              <a:lnTo>
                <a:pt x="14625" y="9814"/>
              </a:lnTo>
              <a:lnTo>
                <a:pt x="14978" y="10885"/>
              </a:lnTo>
              <a:lnTo>
                <a:pt x="15171" y="12042"/>
              </a:lnTo>
              <a:lnTo>
                <a:pt x="15107" y="13114"/>
              </a:lnTo>
              <a:lnTo>
                <a:pt x="15042" y="14228"/>
              </a:lnTo>
              <a:lnTo>
                <a:pt x="14689" y="15257"/>
              </a:lnTo>
              <a:lnTo>
                <a:pt x="14207" y="16285"/>
              </a:lnTo>
              <a:lnTo>
                <a:pt x="13596" y="17057"/>
              </a:lnTo>
              <a:lnTo>
                <a:pt x="12889" y="17657"/>
              </a:lnTo>
              <a:lnTo>
                <a:pt x="12053" y="18085"/>
              </a:lnTo>
              <a:lnTo>
                <a:pt x="11185" y="18257"/>
              </a:lnTo>
              <a:lnTo>
                <a:pt x="10414" y="18214"/>
              </a:lnTo>
              <a:lnTo>
                <a:pt x="9546" y="18042"/>
              </a:lnTo>
              <a:lnTo>
                <a:pt x="8742" y="17614"/>
              </a:lnTo>
              <a:lnTo>
                <a:pt x="8003" y="17014"/>
              </a:lnTo>
              <a:lnTo>
                <a:pt x="7457" y="16242"/>
              </a:lnTo>
              <a:lnTo>
                <a:pt x="6975" y="15257"/>
              </a:lnTo>
              <a:lnTo>
                <a:pt x="6653" y="14142"/>
              </a:lnTo>
              <a:lnTo>
                <a:pt x="6492" y="13114"/>
              </a:lnTo>
              <a:lnTo>
                <a:pt x="6525" y="11914"/>
              </a:lnTo>
              <a:lnTo>
                <a:pt x="6621" y="10842"/>
              </a:lnTo>
              <a:lnTo>
                <a:pt x="6942" y="9771"/>
              </a:lnTo>
              <a:lnTo>
                <a:pt x="7457" y="8785"/>
              </a:lnTo>
              <a:lnTo>
                <a:pt x="8003" y="8057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1457325</xdr:colOff>
      <xdr:row>75</xdr:row>
      <xdr:rowOff>57150</xdr:rowOff>
    </xdr:from>
    <xdr:to>
      <xdr:col>1</xdr:col>
      <xdr:colOff>1781175</xdr:colOff>
      <xdr:row>76</xdr:row>
      <xdr:rowOff>123825</xdr:rowOff>
    </xdr:to>
    <xdr:sp macro="" textlink="">
      <xdr:nvSpPr>
        <xdr:cNvPr id="4" name="Phot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EditPoints="1" noChangeArrowheads="1"/>
        </xdr:cNvSpPr>
      </xdr:nvSpPr>
      <xdr:spPr bwMode="auto">
        <a:xfrm>
          <a:off x="3343275" y="13725525"/>
          <a:ext cx="323850" cy="228600"/>
        </a:xfrm>
        <a:custGeom>
          <a:avLst/>
          <a:gdLst>
            <a:gd name="T0" fmla="*/ 0 w 21600"/>
            <a:gd name="T1" fmla="*/ 3085 h 21600"/>
            <a:gd name="T2" fmla="*/ 10800 w 21600"/>
            <a:gd name="T3" fmla="*/ 0 h 21600"/>
            <a:gd name="T4" fmla="*/ 21600 w 21600"/>
            <a:gd name="T5" fmla="*/ 3085 h 21600"/>
            <a:gd name="T6" fmla="*/ 21600 w 21600"/>
            <a:gd name="T7" fmla="*/ 10800 h 21600"/>
            <a:gd name="T8" fmla="*/ 21600 w 21600"/>
            <a:gd name="T9" fmla="*/ 21600 h 21600"/>
            <a:gd name="T10" fmla="*/ 10800 w 21600"/>
            <a:gd name="T11" fmla="*/ 21800 h 21600"/>
            <a:gd name="T12" fmla="*/ 0 w 21600"/>
            <a:gd name="T13" fmla="*/ 21600 h 21600"/>
            <a:gd name="T14" fmla="*/ 0 w 21600"/>
            <a:gd name="T15" fmla="*/ 10800 h 21600"/>
            <a:gd name="T16" fmla="*/ 761 w 21600"/>
            <a:gd name="T17" fmla="*/ 22454 h 21600"/>
            <a:gd name="T18" fmla="*/ 21069 w 21600"/>
            <a:gd name="T19" fmla="*/ 30282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 extrusionOk="0">
              <a:moveTo>
                <a:pt x="0" y="21600"/>
              </a:moveTo>
              <a:lnTo>
                <a:pt x="0" y="3085"/>
              </a:lnTo>
              <a:lnTo>
                <a:pt x="1542" y="3085"/>
              </a:lnTo>
              <a:lnTo>
                <a:pt x="1542" y="1028"/>
              </a:lnTo>
              <a:lnTo>
                <a:pt x="3857" y="1028"/>
              </a:lnTo>
              <a:lnTo>
                <a:pt x="3857" y="3085"/>
              </a:lnTo>
              <a:lnTo>
                <a:pt x="5400" y="3085"/>
              </a:lnTo>
              <a:lnTo>
                <a:pt x="6942" y="0"/>
              </a:lnTo>
              <a:lnTo>
                <a:pt x="14657" y="0"/>
              </a:lnTo>
              <a:lnTo>
                <a:pt x="16200" y="3085"/>
              </a:lnTo>
              <a:lnTo>
                <a:pt x="21600" y="3085"/>
              </a:lnTo>
              <a:lnTo>
                <a:pt x="21600" y="21600"/>
              </a:lnTo>
              <a:lnTo>
                <a:pt x="0" y="21600"/>
              </a:lnTo>
              <a:close/>
            </a:path>
            <a:path w="21600" h="21600" extrusionOk="0">
              <a:moveTo>
                <a:pt x="0" y="3085"/>
              </a:moveTo>
              <a:lnTo>
                <a:pt x="21600" y="3085"/>
              </a:lnTo>
              <a:lnTo>
                <a:pt x="21600" y="21600"/>
              </a:lnTo>
              <a:lnTo>
                <a:pt x="0" y="21600"/>
              </a:lnTo>
              <a:lnTo>
                <a:pt x="0" y="3085"/>
              </a:lnTo>
              <a:close/>
            </a:path>
            <a:path w="21600" h="21600" extrusionOk="0">
              <a:moveTo>
                <a:pt x="10800" y="4800"/>
              </a:moveTo>
              <a:lnTo>
                <a:pt x="11925" y="4971"/>
              </a:lnTo>
              <a:lnTo>
                <a:pt x="13017" y="5442"/>
              </a:lnTo>
              <a:lnTo>
                <a:pt x="14046" y="6128"/>
              </a:lnTo>
              <a:lnTo>
                <a:pt x="14914" y="7071"/>
              </a:lnTo>
              <a:lnTo>
                <a:pt x="15621" y="8271"/>
              </a:lnTo>
              <a:lnTo>
                <a:pt x="16167" y="9514"/>
              </a:lnTo>
              <a:lnTo>
                <a:pt x="16425" y="11014"/>
              </a:lnTo>
              <a:lnTo>
                <a:pt x="16585" y="12471"/>
              </a:lnTo>
              <a:lnTo>
                <a:pt x="16489" y="14014"/>
              </a:lnTo>
              <a:lnTo>
                <a:pt x="16135" y="15471"/>
              </a:lnTo>
              <a:lnTo>
                <a:pt x="15621" y="16800"/>
              </a:lnTo>
              <a:lnTo>
                <a:pt x="14914" y="18000"/>
              </a:lnTo>
              <a:lnTo>
                <a:pt x="14046" y="18942"/>
              </a:lnTo>
              <a:lnTo>
                <a:pt x="13050" y="19671"/>
              </a:lnTo>
              <a:lnTo>
                <a:pt x="11925" y="20057"/>
              </a:lnTo>
              <a:lnTo>
                <a:pt x="10832" y="20185"/>
              </a:lnTo>
              <a:lnTo>
                <a:pt x="9675" y="20142"/>
              </a:lnTo>
              <a:lnTo>
                <a:pt x="8582" y="19628"/>
              </a:lnTo>
              <a:lnTo>
                <a:pt x="7553" y="18942"/>
              </a:lnTo>
              <a:lnTo>
                <a:pt x="6717" y="17957"/>
              </a:lnTo>
              <a:lnTo>
                <a:pt x="5946" y="16842"/>
              </a:lnTo>
              <a:lnTo>
                <a:pt x="5464" y="15514"/>
              </a:lnTo>
              <a:lnTo>
                <a:pt x="5078" y="14014"/>
              </a:lnTo>
              <a:lnTo>
                <a:pt x="5014" y="12514"/>
              </a:lnTo>
              <a:lnTo>
                <a:pt x="5110" y="11014"/>
              </a:lnTo>
              <a:lnTo>
                <a:pt x="5528" y="9557"/>
              </a:lnTo>
              <a:lnTo>
                <a:pt x="6010" y="8228"/>
              </a:lnTo>
              <a:lnTo>
                <a:pt x="6750" y="7114"/>
              </a:lnTo>
              <a:lnTo>
                <a:pt x="7650" y="6085"/>
              </a:lnTo>
              <a:lnTo>
                <a:pt x="8614" y="5400"/>
              </a:lnTo>
              <a:lnTo>
                <a:pt x="9707" y="4971"/>
              </a:lnTo>
              <a:lnTo>
                <a:pt x="10800" y="4800"/>
              </a:lnTo>
              <a:close/>
            </a:path>
            <a:path w="21600" h="21600" extrusionOk="0">
              <a:moveTo>
                <a:pt x="8003" y="8057"/>
              </a:moveTo>
              <a:lnTo>
                <a:pt x="8807" y="7371"/>
              </a:lnTo>
              <a:lnTo>
                <a:pt x="9546" y="6985"/>
              </a:lnTo>
              <a:lnTo>
                <a:pt x="10446" y="6771"/>
              </a:lnTo>
              <a:lnTo>
                <a:pt x="11217" y="6771"/>
              </a:lnTo>
              <a:lnTo>
                <a:pt x="12053" y="7028"/>
              </a:lnTo>
              <a:lnTo>
                <a:pt x="12889" y="7457"/>
              </a:lnTo>
              <a:lnTo>
                <a:pt x="13628" y="8100"/>
              </a:lnTo>
              <a:lnTo>
                <a:pt x="14175" y="8871"/>
              </a:lnTo>
              <a:lnTo>
                <a:pt x="14625" y="9814"/>
              </a:lnTo>
              <a:lnTo>
                <a:pt x="14978" y="10885"/>
              </a:lnTo>
              <a:lnTo>
                <a:pt x="15171" y="12042"/>
              </a:lnTo>
              <a:lnTo>
                <a:pt x="15107" y="13114"/>
              </a:lnTo>
              <a:lnTo>
                <a:pt x="15042" y="14228"/>
              </a:lnTo>
              <a:lnTo>
                <a:pt x="14689" y="15257"/>
              </a:lnTo>
              <a:lnTo>
                <a:pt x="14207" y="16285"/>
              </a:lnTo>
              <a:lnTo>
                <a:pt x="13596" y="17057"/>
              </a:lnTo>
              <a:lnTo>
                <a:pt x="12889" y="17657"/>
              </a:lnTo>
              <a:lnTo>
                <a:pt x="12053" y="18085"/>
              </a:lnTo>
              <a:lnTo>
                <a:pt x="11185" y="18257"/>
              </a:lnTo>
              <a:lnTo>
                <a:pt x="10414" y="18214"/>
              </a:lnTo>
              <a:lnTo>
                <a:pt x="9546" y="18042"/>
              </a:lnTo>
              <a:lnTo>
                <a:pt x="8742" y="17614"/>
              </a:lnTo>
              <a:lnTo>
                <a:pt x="8003" y="17014"/>
              </a:lnTo>
              <a:lnTo>
                <a:pt x="7457" y="16242"/>
              </a:lnTo>
              <a:lnTo>
                <a:pt x="6975" y="15257"/>
              </a:lnTo>
              <a:lnTo>
                <a:pt x="6653" y="14142"/>
              </a:lnTo>
              <a:lnTo>
                <a:pt x="6492" y="13114"/>
              </a:lnTo>
              <a:lnTo>
                <a:pt x="6525" y="11914"/>
              </a:lnTo>
              <a:lnTo>
                <a:pt x="6621" y="10842"/>
              </a:lnTo>
              <a:lnTo>
                <a:pt x="6942" y="9771"/>
              </a:lnTo>
              <a:lnTo>
                <a:pt x="7457" y="8785"/>
              </a:lnTo>
              <a:lnTo>
                <a:pt x="8003" y="8057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219634</xdr:colOff>
      <xdr:row>96</xdr:row>
      <xdr:rowOff>137273</xdr:rowOff>
    </xdr:from>
    <xdr:to>
      <xdr:col>1</xdr:col>
      <xdr:colOff>1156336</xdr:colOff>
      <xdr:row>100</xdr:row>
      <xdr:rowOff>120806</xdr:rowOff>
    </xdr:to>
    <xdr:pic>
      <xdr:nvPicPr>
        <xdr:cNvPr id="5" name="5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219634" y="16979714"/>
          <a:ext cx="2819290" cy="857592"/>
        </a:xfrm>
        <a:prstGeom prst="rect">
          <a:avLst/>
        </a:prstGeom>
      </xdr:spPr>
    </xdr:pic>
    <xdr:clientData/>
  </xdr:twoCellAnchor>
  <xdr:twoCellAnchor>
    <xdr:from>
      <xdr:col>0</xdr:col>
      <xdr:colOff>887638</xdr:colOff>
      <xdr:row>103</xdr:row>
      <xdr:rowOff>33617</xdr:rowOff>
    </xdr:from>
    <xdr:to>
      <xdr:col>7</xdr:col>
      <xdr:colOff>537883</xdr:colOff>
      <xdr:row>144</xdr:row>
      <xdr:rowOff>114440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87638" y="18713823"/>
          <a:ext cx="7427127" cy="6512999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56028</xdr:colOff>
      <xdr:row>0</xdr:row>
      <xdr:rowOff>70062</xdr:rowOff>
    </xdr:from>
    <xdr:to>
      <xdr:col>0</xdr:col>
      <xdr:colOff>1701339</xdr:colOff>
      <xdr:row>1</xdr:row>
      <xdr:rowOff>123263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56028" y="70062"/>
          <a:ext cx="1645311" cy="456613"/>
        </a:xfrm>
        <a:prstGeom prst="rect">
          <a:avLst/>
        </a:prstGeom>
      </xdr:spPr>
    </xdr:pic>
    <xdr:clientData/>
  </xdr:twoCellAnchor>
  <xdr:twoCellAnchor editAs="oneCell">
    <xdr:from>
      <xdr:col>0</xdr:col>
      <xdr:colOff>257737</xdr:colOff>
      <xdr:row>153</xdr:row>
      <xdr:rowOff>162213</xdr:rowOff>
    </xdr:from>
    <xdr:to>
      <xdr:col>1</xdr:col>
      <xdr:colOff>739589</xdr:colOff>
      <xdr:row>158</xdr:row>
      <xdr:rowOff>73573</xdr:rowOff>
    </xdr:to>
    <xdr:pic>
      <xdr:nvPicPr>
        <xdr:cNvPr id="9" name="7 Image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257737" y="26720154"/>
          <a:ext cx="2364440" cy="1076772"/>
        </a:xfrm>
        <a:prstGeom prst="rect">
          <a:avLst/>
        </a:prstGeom>
      </xdr:spPr>
    </xdr:pic>
    <xdr:clientData/>
  </xdr:twoCellAnchor>
  <xdr:twoCellAnchor>
    <xdr:from>
      <xdr:col>0</xdr:col>
      <xdr:colOff>179294</xdr:colOff>
      <xdr:row>160</xdr:row>
      <xdr:rowOff>180227</xdr:rowOff>
    </xdr:from>
    <xdr:to>
      <xdr:col>8</xdr:col>
      <xdr:colOff>179294</xdr:colOff>
      <xdr:row>194</xdr:row>
      <xdr:rowOff>53228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79294" y="28250962"/>
          <a:ext cx="8538882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369794</xdr:colOff>
      <xdr:row>196</xdr:row>
      <xdr:rowOff>184624</xdr:rowOff>
    </xdr:from>
    <xdr:ext cx="2398059" cy="770322"/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69794" y="35146977"/>
          <a:ext cx="2398059" cy="770322"/>
        </a:xfrm>
        <a:prstGeom prst="rect">
          <a:avLst/>
        </a:prstGeom>
      </xdr:spPr>
    </xdr:pic>
    <xdr:clientData/>
  </xdr:oneCellAnchor>
  <xdr:twoCellAnchor>
    <xdr:from>
      <xdr:col>0</xdr:col>
      <xdr:colOff>347382</xdr:colOff>
      <xdr:row>203</xdr:row>
      <xdr:rowOff>79374</xdr:rowOff>
    </xdr:from>
    <xdr:to>
      <xdr:col>8</xdr:col>
      <xdr:colOff>347382</xdr:colOff>
      <xdr:row>236</xdr:row>
      <xdr:rowOff>142875</xdr:rowOff>
    </xdr:to>
    <xdr:sp macro="" textlink="">
      <xdr:nvSpPr>
        <xdr:cNvPr id="12" name="Rectángulo 8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7382" y="36554521"/>
          <a:ext cx="8538882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47</xdr:row>
      <xdr:rowOff>142875</xdr:rowOff>
    </xdr:from>
    <xdr:to>
      <xdr:col>1</xdr:col>
      <xdr:colOff>647683</xdr:colOff>
      <xdr:row>51</xdr:row>
      <xdr:rowOff>50768</xdr:rowOff>
    </xdr:to>
    <xdr:pic>
      <xdr:nvPicPr>
        <xdr:cNvPr id="8" name="12 Image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269875" y="13763625"/>
          <a:ext cx="2833764" cy="882805"/>
        </a:xfrm>
        <a:prstGeom prst="rect">
          <a:avLst/>
        </a:prstGeom>
      </xdr:spPr>
    </xdr:pic>
    <xdr:clientData/>
  </xdr:twoCellAnchor>
  <xdr:twoCellAnchor>
    <xdr:from>
      <xdr:col>0</xdr:col>
      <xdr:colOff>661145</xdr:colOff>
      <xdr:row>54</xdr:row>
      <xdr:rowOff>65348</xdr:rowOff>
    </xdr:from>
    <xdr:to>
      <xdr:col>7</xdr:col>
      <xdr:colOff>739587</xdr:colOff>
      <xdr:row>86</xdr:row>
      <xdr:rowOff>160643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61145" y="13736524"/>
          <a:ext cx="7620001" cy="6191295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44822</xdr:colOff>
      <xdr:row>0</xdr:row>
      <xdr:rowOff>56029</xdr:rowOff>
    </xdr:from>
    <xdr:to>
      <xdr:col>0</xdr:col>
      <xdr:colOff>2050676</xdr:colOff>
      <xdr:row>1</xdr:row>
      <xdr:rowOff>209290</xdr:rowOff>
    </xdr:to>
    <xdr:pic>
      <xdr:nvPicPr>
        <xdr:cNvPr id="11" name="Picture 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44822" y="56029"/>
          <a:ext cx="2005854" cy="556673"/>
        </a:xfrm>
        <a:prstGeom prst="rect">
          <a:avLst/>
        </a:prstGeom>
      </xdr:spPr>
    </xdr:pic>
    <xdr:clientData/>
  </xdr:twoCellAnchor>
  <xdr:twoCellAnchor editAs="oneCell">
    <xdr:from>
      <xdr:col>0</xdr:col>
      <xdr:colOff>302559</xdr:colOff>
      <xdr:row>89</xdr:row>
      <xdr:rowOff>139801</xdr:rowOff>
    </xdr:from>
    <xdr:to>
      <xdr:col>0</xdr:col>
      <xdr:colOff>2117912</xdr:colOff>
      <xdr:row>93</xdr:row>
      <xdr:rowOff>337407</xdr:rowOff>
    </xdr:to>
    <xdr:pic>
      <xdr:nvPicPr>
        <xdr:cNvPr id="12" name="7 Image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02559" y="20478477"/>
          <a:ext cx="1815353" cy="959606"/>
        </a:xfrm>
        <a:prstGeom prst="rect">
          <a:avLst/>
        </a:prstGeom>
      </xdr:spPr>
    </xdr:pic>
    <xdr:clientData/>
  </xdr:twoCellAnchor>
  <xdr:twoCellAnchor>
    <xdr:from>
      <xdr:col>0</xdr:col>
      <xdr:colOff>336178</xdr:colOff>
      <xdr:row>95</xdr:row>
      <xdr:rowOff>180227</xdr:rowOff>
    </xdr:from>
    <xdr:to>
      <xdr:col>8</xdr:col>
      <xdr:colOff>336178</xdr:colOff>
      <xdr:row>129</xdr:row>
      <xdr:rowOff>53228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336178" y="21874815"/>
          <a:ext cx="8303559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0</xdr:colOff>
      <xdr:row>132</xdr:row>
      <xdr:rowOff>5329</xdr:rowOff>
    </xdr:from>
    <xdr:ext cx="2820548" cy="906037"/>
    <xdr:pic>
      <xdr:nvPicPr>
        <xdr:cNvPr id="14" name="10 Imagen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0" y="35666929"/>
          <a:ext cx="2820548" cy="906037"/>
        </a:xfrm>
        <a:prstGeom prst="rect">
          <a:avLst/>
        </a:prstGeom>
      </xdr:spPr>
    </xdr:pic>
    <xdr:clientData/>
  </xdr:oneCellAnchor>
  <xdr:twoCellAnchor>
    <xdr:from>
      <xdr:col>0</xdr:col>
      <xdr:colOff>347382</xdr:colOff>
      <xdr:row>138</xdr:row>
      <xdr:rowOff>79374</xdr:rowOff>
    </xdr:from>
    <xdr:to>
      <xdr:col>8</xdr:col>
      <xdr:colOff>347382</xdr:colOff>
      <xdr:row>171</xdr:row>
      <xdr:rowOff>142875</xdr:rowOff>
    </xdr:to>
    <xdr:sp macro="" textlink="">
      <xdr:nvSpPr>
        <xdr:cNvPr id="15" name="Rectángulo 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47382" y="37093524"/>
          <a:ext cx="8534400" cy="6350001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liva.francis/Desktop/2017/AUDITORIAS%20PERSONAL%20INTERNO/CALIDAD%20DE%20LA%20INSTALACION%202017%20V1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AUDITORIA"/>
      <sheetName val="Sheet1"/>
      <sheetName val="Hoja1"/>
      <sheetName val="HFC"/>
      <sheetName val="CALTEC HFC"/>
      <sheetName val="VUC HFC"/>
      <sheetName val="TOOLS HFC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open?id=1l2d_iL_zT-_68JGn6Ra6FA0JiPuNQ_9y" TargetMode="External"/><Relationship Id="rId1" Type="http://schemas.openxmlformats.org/officeDocument/2006/relationships/hyperlink" Target="https://drive.google.com/open?id=1OSqb18fmfEkiaPQVTHm0cz32MkWHMEz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BS102"/>
  <sheetViews>
    <sheetView tabSelected="1" zoomScale="85" zoomScaleNormal="85" workbookViewId="0">
      <pane ySplit="2" topLeftCell="A3" activePane="bottomLeft" state="frozen"/>
      <selection activeCell="BH3" sqref="BH3"/>
      <selection pane="bottomLeft" activeCell="A3" sqref="A3"/>
    </sheetView>
  </sheetViews>
  <sheetFormatPr baseColWidth="10" defaultRowHeight="15" x14ac:dyDescent="0.25"/>
  <cols>
    <col min="1" max="1" width="11.42578125" style="72" customWidth="1"/>
    <col min="2" max="2" width="16.140625" style="129" bestFit="1" customWidth="1"/>
    <col min="3" max="3" width="13.42578125" style="72" bestFit="1" customWidth="1"/>
    <col min="4" max="6" width="11.42578125" style="72" customWidth="1"/>
    <col min="7" max="7" width="12" style="72" customWidth="1"/>
    <col min="8" max="8" width="11.42578125" style="72" customWidth="1"/>
    <col min="9" max="9" width="16" style="72" customWidth="1"/>
    <col min="10" max="22" width="11.42578125" style="72" customWidth="1"/>
    <col min="23" max="23" width="12" style="72" customWidth="1"/>
    <col min="24" max="24" width="13.7109375" style="72" customWidth="1"/>
    <col min="25" max="26" width="15.85546875" style="72" customWidth="1"/>
    <col min="27" max="27" width="10.85546875" style="72" customWidth="1"/>
    <col min="28" max="56" width="11.42578125" style="72" customWidth="1"/>
    <col min="57" max="57" width="12.140625" style="72" customWidth="1"/>
    <col min="58" max="60" width="11.42578125" style="72" customWidth="1"/>
    <col min="61" max="63" width="30.7109375" style="79" customWidth="1"/>
    <col min="64" max="64" width="11.42578125" style="72"/>
    <col min="65" max="65" width="14.42578125" style="72" bestFit="1" customWidth="1"/>
    <col min="66" max="67" width="11.42578125" style="72"/>
    <col min="68" max="68" width="13" style="72" customWidth="1"/>
    <col min="69" max="69" width="15.28515625" style="79" customWidth="1"/>
    <col min="70" max="70" width="13.42578125" style="72" bestFit="1" customWidth="1"/>
    <col min="71" max="71" width="45.7109375" style="79" customWidth="1"/>
    <col min="72" max="16384" width="11.42578125" style="72"/>
  </cols>
  <sheetData>
    <row r="1" spans="1:71" hidden="1" x14ac:dyDescent="0.25">
      <c r="A1" s="73"/>
      <c r="B1" s="127"/>
      <c r="C1" s="73"/>
      <c r="D1" s="73"/>
      <c r="E1" s="73"/>
      <c r="F1" s="73"/>
      <c r="G1" s="73"/>
      <c r="H1" s="73"/>
      <c r="I1" s="73"/>
      <c r="J1" s="73"/>
      <c r="K1" s="167">
        <v>5</v>
      </c>
      <c r="L1" s="167">
        <v>5</v>
      </c>
      <c r="M1" s="167">
        <v>5</v>
      </c>
      <c r="N1" s="167">
        <v>5</v>
      </c>
      <c r="O1" s="167">
        <v>5</v>
      </c>
      <c r="P1" s="167">
        <v>5</v>
      </c>
      <c r="Q1" s="73">
        <f>SUM(R1:X1)</f>
        <v>20</v>
      </c>
      <c r="R1" s="168">
        <v>3</v>
      </c>
      <c r="S1" s="168">
        <v>2</v>
      </c>
      <c r="T1" s="168">
        <v>3</v>
      </c>
      <c r="U1" s="168">
        <v>3</v>
      </c>
      <c r="V1" s="168">
        <v>3</v>
      </c>
      <c r="W1" s="168">
        <v>3</v>
      </c>
      <c r="X1" s="168">
        <v>3</v>
      </c>
      <c r="Y1" s="73">
        <v>20</v>
      </c>
      <c r="Z1" s="73">
        <v>15</v>
      </c>
      <c r="AA1" s="190">
        <v>5</v>
      </c>
      <c r="AB1" s="190">
        <v>5</v>
      </c>
      <c r="AC1" s="190">
        <v>10</v>
      </c>
      <c r="AD1" s="190">
        <v>5</v>
      </c>
      <c r="AE1" s="190">
        <v>50</v>
      </c>
      <c r="AF1" s="190">
        <v>5</v>
      </c>
      <c r="AG1" s="190">
        <v>2</v>
      </c>
      <c r="AH1" s="190">
        <v>2</v>
      </c>
      <c r="AI1" s="190">
        <v>2</v>
      </c>
      <c r="AJ1" s="190">
        <v>2</v>
      </c>
      <c r="AK1" s="190">
        <v>2</v>
      </c>
      <c r="AL1" s="190">
        <v>2</v>
      </c>
      <c r="AM1" s="190">
        <v>2</v>
      </c>
      <c r="AN1" s="190">
        <v>2</v>
      </c>
      <c r="AO1" s="190">
        <v>2</v>
      </c>
      <c r="AP1" s="190">
        <v>2</v>
      </c>
      <c r="AQ1" s="73">
        <v>10</v>
      </c>
      <c r="AR1" s="73">
        <v>10</v>
      </c>
      <c r="AS1" s="73">
        <v>15</v>
      </c>
      <c r="AT1" s="73">
        <v>15</v>
      </c>
      <c r="AU1" s="73">
        <v>5</v>
      </c>
      <c r="AV1" s="73">
        <v>10</v>
      </c>
      <c r="AW1" s="73">
        <v>5</v>
      </c>
      <c r="AX1" s="73">
        <v>10</v>
      </c>
      <c r="AY1" s="73">
        <v>5</v>
      </c>
      <c r="AZ1" s="73">
        <v>5</v>
      </c>
      <c r="BA1" s="73">
        <v>10</v>
      </c>
      <c r="BB1" s="191">
        <v>20</v>
      </c>
      <c r="BC1" s="191">
        <v>20</v>
      </c>
      <c r="BD1" s="191">
        <v>20</v>
      </c>
      <c r="BE1" s="191">
        <v>20</v>
      </c>
      <c r="BF1" s="191">
        <v>5</v>
      </c>
      <c r="BG1" s="191">
        <v>15</v>
      </c>
      <c r="BH1" s="73">
        <v>100</v>
      </c>
      <c r="BI1" s="80"/>
      <c r="BJ1" s="80"/>
      <c r="BK1" s="80"/>
      <c r="BL1" s="73"/>
      <c r="BM1" s="73"/>
      <c r="BN1" s="73"/>
      <c r="BO1" s="73"/>
      <c r="BP1" s="73"/>
    </row>
    <row r="2" spans="1:71" ht="60.75" customHeight="1" thickBot="1" x14ac:dyDescent="0.3">
      <c r="A2" s="74" t="s">
        <v>43</v>
      </c>
      <c r="B2" s="128" t="s">
        <v>139</v>
      </c>
      <c r="C2" s="74" t="s">
        <v>108</v>
      </c>
      <c r="D2" s="74" t="s">
        <v>2</v>
      </c>
      <c r="E2" s="74" t="s">
        <v>1</v>
      </c>
      <c r="F2" s="74" t="s">
        <v>4</v>
      </c>
      <c r="G2" s="74" t="s">
        <v>109</v>
      </c>
      <c r="H2" s="74" t="s">
        <v>110</v>
      </c>
      <c r="I2" s="74" t="s">
        <v>111</v>
      </c>
      <c r="J2" s="74" t="s">
        <v>43</v>
      </c>
      <c r="K2" s="74" t="s">
        <v>23</v>
      </c>
      <c r="L2" s="74" t="s">
        <v>112</v>
      </c>
      <c r="M2" s="74" t="s">
        <v>25</v>
      </c>
      <c r="N2" s="74" t="s">
        <v>26</v>
      </c>
      <c r="O2" s="74" t="s">
        <v>133</v>
      </c>
      <c r="P2" s="74" t="s">
        <v>28</v>
      </c>
      <c r="Q2" s="74" t="s">
        <v>30</v>
      </c>
      <c r="R2" s="74" t="s">
        <v>113</v>
      </c>
      <c r="S2" s="74" t="s">
        <v>134</v>
      </c>
      <c r="T2" s="74" t="s">
        <v>114</v>
      </c>
      <c r="U2" s="74" t="s">
        <v>135</v>
      </c>
      <c r="V2" s="74" t="s">
        <v>117</v>
      </c>
      <c r="W2" s="74" t="s">
        <v>136</v>
      </c>
      <c r="X2" s="74" t="s">
        <v>38</v>
      </c>
      <c r="Y2" s="192" t="s">
        <v>148</v>
      </c>
      <c r="Z2" s="192" t="s">
        <v>149</v>
      </c>
      <c r="AA2" s="166" t="s">
        <v>92</v>
      </c>
      <c r="AB2" s="166" t="s">
        <v>137</v>
      </c>
      <c r="AC2" s="166" t="s">
        <v>118</v>
      </c>
      <c r="AD2" s="166" t="s">
        <v>95</v>
      </c>
      <c r="AE2" s="166" t="s">
        <v>96</v>
      </c>
      <c r="AF2" s="166" t="s">
        <v>97</v>
      </c>
      <c r="AG2" s="166" t="s">
        <v>98</v>
      </c>
      <c r="AH2" s="166" t="s">
        <v>99</v>
      </c>
      <c r="AI2" s="166" t="s">
        <v>100</v>
      </c>
      <c r="AJ2" s="166" t="s">
        <v>119</v>
      </c>
      <c r="AK2" s="166" t="s">
        <v>102</v>
      </c>
      <c r="AL2" s="166" t="s">
        <v>103</v>
      </c>
      <c r="AM2" s="166" t="s">
        <v>104</v>
      </c>
      <c r="AN2" s="166" t="s">
        <v>105</v>
      </c>
      <c r="AO2" s="166" t="s">
        <v>106</v>
      </c>
      <c r="AP2" s="166" t="s">
        <v>107</v>
      </c>
      <c r="AQ2" s="166" t="s">
        <v>48</v>
      </c>
      <c r="AR2" s="166" t="s">
        <v>120</v>
      </c>
      <c r="AS2" s="166" t="s">
        <v>121</v>
      </c>
      <c r="AT2" s="166" t="s">
        <v>51</v>
      </c>
      <c r="AU2" s="166" t="s">
        <v>52</v>
      </c>
      <c r="AV2" s="166" t="s">
        <v>53</v>
      </c>
      <c r="AW2" s="166" t="s">
        <v>54</v>
      </c>
      <c r="AX2" s="166" t="s">
        <v>55</v>
      </c>
      <c r="AY2" s="166" t="s">
        <v>56</v>
      </c>
      <c r="AZ2" s="166" t="s">
        <v>57</v>
      </c>
      <c r="BA2" s="166" t="s">
        <v>58</v>
      </c>
      <c r="BB2" s="166" t="s">
        <v>65</v>
      </c>
      <c r="BC2" s="166" t="s">
        <v>122</v>
      </c>
      <c r="BD2" s="166" t="s">
        <v>67</v>
      </c>
      <c r="BE2" s="166" t="s">
        <v>123</v>
      </c>
      <c r="BF2" s="166" t="s">
        <v>69</v>
      </c>
      <c r="BG2" s="166" t="s">
        <v>70</v>
      </c>
      <c r="BH2" s="74" t="s">
        <v>124</v>
      </c>
      <c r="BI2" s="74" t="s">
        <v>115</v>
      </c>
      <c r="BJ2" s="74" t="s">
        <v>116</v>
      </c>
      <c r="BK2" s="74" t="s">
        <v>125</v>
      </c>
      <c r="BL2" s="77" t="s">
        <v>127</v>
      </c>
      <c r="BM2" s="77" t="s">
        <v>128</v>
      </c>
      <c r="BN2" s="77" t="s">
        <v>129</v>
      </c>
      <c r="BO2" s="77" t="s">
        <v>130</v>
      </c>
      <c r="BP2" s="77" t="s">
        <v>131</v>
      </c>
      <c r="BQ2" s="75" t="s">
        <v>138</v>
      </c>
      <c r="BR2" s="75" t="s">
        <v>132</v>
      </c>
      <c r="BS2" s="75" t="s">
        <v>61</v>
      </c>
    </row>
    <row r="3" spans="1:71" ht="15.75" thickBot="1" x14ac:dyDescent="0.3">
      <c r="A3" s="197">
        <v>21225198</v>
      </c>
      <c r="B3" s="196">
        <v>45078</v>
      </c>
      <c r="C3" s="196"/>
      <c r="D3" s="196">
        <v>45078</v>
      </c>
      <c r="E3" s="197" t="s">
        <v>154</v>
      </c>
      <c r="F3" s="197" t="s">
        <v>155</v>
      </c>
      <c r="G3" s="197" t="s">
        <v>156</v>
      </c>
      <c r="H3" s="197" t="s">
        <v>157</v>
      </c>
      <c r="I3" s="197" t="s">
        <v>158</v>
      </c>
      <c r="J3" s="197">
        <v>21225198</v>
      </c>
      <c r="K3" s="197" t="s">
        <v>63</v>
      </c>
      <c r="L3" s="197" t="s">
        <v>63</v>
      </c>
      <c r="M3" s="197"/>
      <c r="N3" s="197" t="s">
        <v>63</v>
      </c>
      <c r="O3" s="197" t="s">
        <v>63</v>
      </c>
      <c r="P3" s="197" t="s">
        <v>63</v>
      </c>
      <c r="Q3" s="197" t="s">
        <v>63</v>
      </c>
      <c r="R3" s="197" t="s">
        <v>63</v>
      </c>
      <c r="S3" s="197" t="s">
        <v>63</v>
      </c>
      <c r="T3" s="197" t="s">
        <v>63</v>
      </c>
      <c r="U3" s="197" t="s">
        <v>63</v>
      </c>
      <c r="V3" s="197" t="s">
        <v>63</v>
      </c>
      <c r="W3" s="197" t="s">
        <v>63</v>
      </c>
      <c r="X3" s="197" t="s">
        <v>63</v>
      </c>
      <c r="Y3" s="197" t="s">
        <v>159</v>
      </c>
      <c r="Z3" s="197" t="s">
        <v>159</v>
      </c>
      <c r="AA3" s="197" t="s">
        <v>126</v>
      </c>
      <c r="AB3" s="197" t="s">
        <v>126</v>
      </c>
      <c r="AC3" s="197" t="s">
        <v>126</v>
      </c>
      <c r="AD3" s="197" t="s">
        <v>126</v>
      </c>
      <c r="AE3" s="197" t="s">
        <v>126</v>
      </c>
      <c r="AF3" s="197" t="s">
        <v>126</v>
      </c>
      <c r="AG3" s="197" t="s">
        <v>126</v>
      </c>
      <c r="AH3" s="197" t="s">
        <v>126</v>
      </c>
      <c r="AI3" s="197" t="s">
        <v>126</v>
      </c>
      <c r="AJ3" s="197" t="s">
        <v>126</v>
      </c>
      <c r="AK3" s="197" t="s">
        <v>126</v>
      </c>
      <c r="AL3" s="197" t="s">
        <v>126</v>
      </c>
      <c r="AM3" s="197" t="s">
        <v>126</v>
      </c>
      <c r="AN3" s="197" t="s">
        <v>126</v>
      </c>
      <c r="AO3" s="197" t="s">
        <v>126</v>
      </c>
      <c r="AP3" s="197" t="s">
        <v>126</v>
      </c>
      <c r="AQ3" s="197" t="s">
        <v>160</v>
      </c>
      <c r="AR3" s="197" t="s">
        <v>160</v>
      </c>
      <c r="AS3" s="197" t="s">
        <v>160</v>
      </c>
      <c r="AT3" s="197" t="s">
        <v>161</v>
      </c>
      <c r="AU3" s="197" t="s">
        <v>63</v>
      </c>
      <c r="AV3" s="197" t="s">
        <v>126</v>
      </c>
      <c r="AW3" s="197" t="s">
        <v>126</v>
      </c>
      <c r="AX3" s="197" t="s">
        <v>126</v>
      </c>
      <c r="AY3" s="197" t="s">
        <v>126</v>
      </c>
      <c r="AZ3" s="197" t="s">
        <v>126</v>
      </c>
      <c r="BA3" s="197" t="s">
        <v>126</v>
      </c>
      <c r="BB3" s="197" t="s">
        <v>126</v>
      </c>
      <c r="BC3" s="197" t="s">
        <v>126</v>
      </c>
      <c r="BD3" s="197" t="s">
        <v>126</v>
      </c>
      <c r="BE3" s="197" t="s">
        <v>126</v>
      </c>
      <c r="BF3" s="197" t="s">
        <v>126</v>
      </c>
      <c r="BG3" s="197" t="s">
        <v>126</v>
      </c>
      <c r="BH3" s="197" t="s">
        <v>63</v>
      </c>
      <c r="BI3" s="198" t="s">
        <v>162</v>
      </c>
      <c r="BJ3" s="198" t="s">
        <v>163</v>
      </c>
      <c r="BK3" s="197"/>
      <c r="BL3" s="197">
        <v>72</v>
      </c>
      <c r="BM3" s="197"/>
      <c r="BN3" s="78">
        <f t="shared" ref="BN3" si="0">IF(AQ3="NO",0,$AQ$1)+IF(AR3="NO",0,$AR$1)+IF(AS3="NO",0,$AS$1)+IF(AT3="NO",0,$AT$1)+IF(AU3="NO",0,$AU$1)+IF(AV3="NO",0,$AV$1)+IF(AW3="NO",0,$AW$1)+IF(AX3="NO",0,$AX$1)+IF(AY3="NO",0,$AY$1)+IF(AZ3="NO",0,$AZ$1)+IF(BA3="NO",0,$BA$1)</f>
        <v>85</v>
      </c>
      <c r="BO3" s="78">
        <f t="shared" ref="BO3" si="1">IF(BB3="NO",0,$BB$1)+IF(BC3="NO",0,$BC$1)+IF(BD3="NO",0,$BD$1)+IF(BE3="NO",0,$BE$1)+IF(BF3="NO",0,$BF$1)+IF(BG3="NO",0,$BG$1)</f>
        <v>100</v>
      </c>
      <c r="BP3" s="78">
        <f t="shared" ref="BP3" si="2">IF(BH3="NO",0,$BH$1)</f>
        <v>100</v>
      </c>
      <c r="BQ3" s="126">
        <v>1</v>
      </c>
      <c r="BR3" s="78" t="s">
        <v>88</v>
      </c>
      <c r="BS3" s="135"/>
    </row>
    <row r="4" spans="1:71" ht="15.75" thickBot="1" x14ac:dyDescent="0.3">
      <c r="A4" s="76"/>
      <c r="B4" s="163"/>
      <c r="C4" s="76"/>
      <c r="D4" s="163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164"/>
      <c r="BJ4" s="164"/>
      <c r="BK4" s="82"/>
      <c r="BL4" s="78">
        <f t="shared" ref="BL4:BL67" si="3">(IF(K4="NO",0,$K$1)+IF(L4="NO",0,$L$1)+IF(M4="NO",0,$M$1)+IF(N4="NO",0,$N$1)+IF(O4="NO",0,$O$1)+IF(P4="NO",0,$P$1)+IF(R4="NO",0,$R$1)+IF(S4="NO",0,$S$1)+IF(T4="NO",0,$T$1)+IF(U4="NO",0,$U$1)+IF(V4="NO",0,$V$1)+IF(W4="NO",0,$W$1)+IF(X4="NO",0,$X$1)+IF(Y4="NO",0,$Y$1)+IF(Z4="NO",0,$Z$1))+15</f>
        <v>100</v>
      </c>
      <c r="BM4" s="78">
        <f t="shared" ref="BM4:BM67" si="4">IF(AA4="NO",0,$AA$1)+IF(AB4="NO",0,$AB$1)+IF(AC4="NO",0,$AC$1)+IF(AD4="NO",0,$AD$1)+IF(AE4="NO",0,$AE$1)+IF(AF4="NO",0,$AF$1)+IF(AG4="NO",0,$AG$1)+IF(AH4="NO",0,$AH$1)+IF(AI4="NO",0,$AI$1)+IF(AJ4="NO",0,$AJ$1)+IF(AK4="NO",0,$AK$1)+IF(AL4="NO",0,$AL$1)+IF(AM4="NO",0,$AM$1)+IF(AN4="NO",0,$AN$1)+IF(AO4="NO",0,$AO$1)+IF(AP4="NO",0,$AP$1)</f>
        <v>100</v>
      </c>
      <c r="BN4" s="78">
        <f t="shared" ref="BN4:BN67" si="5">IF(AQ4="NO",0,$AQ$1)+IF(AR4="NO",0,$AR$1)+IF(AS4="NO",0,$AS$1)+IF(AT4="NO",0,$AT$1)+IF(AU4="NO",0,$AU$1)+IF(AV4="NO",0,$AV$1)+IF(AW4="NO",0,$AW$1)+IF(AX4="NO",0,$AX$1)+IF(AY4="NO",0,$AY$1)+IF(AZ4="NO",0,$AZ$1)+IF(BA4="NO",0,$BA$1)</f>
        <v>100</v>
      </c>
      <c r="BO4" s="78">
        <f t="shared" ref="BO4:BO67" si="6">IF(BB4="NO",0,$BB$1)+IF(BC4="NO",0,$BC$1)+IF(BD4="NO",0,$BD$1)+IF(BE4="NO",0,$BE$1)+IF(BF4="NO",0,$BF$1)+IF(BG4="NO",0,$BG$1)</f>
        <v>100</v>
      </c>
      <c r="BP4" s="78">
        <f t="shared" ref="BP4:BP67" si="7">IF(BH4="NO",0,$BH$1)</f>
        <v>100</v>
      </c>
      <c r="BQ4" s="126">
        <v>2</v>
      </c>
      <c r="BR4" s="78" t="s">
        <v>88</v>
      </c>
      <c r="BS4" s="135"/>
    </row>
    <row r="5" spans="1:71" ht="15.75" thickBot="1" x14ac:dyDescent="0.3">
      <c r="A5" s="76"/>
      <c r="B5" s="163"/>
      <c r="C5" s="76"/>
      <c r="D5" s="163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164"/>
      <c r="BJ5" s="164"/>
      <c r="BK5" s="82"/>
      <c r="BL5" s="78">
        <f t="shared" si="3"/>
        <v>100</v>
      </c>
      <c r="BM5" s="78">
        <f t="shared" si="4"/>
        <v>100</v>
      </c>
      <c r="BN5" s="78">
        <f t="shared" si="5"/>
        <v>100</v>
      </c>
      <c r="BO5" s="78">
        <f t="shared" si="6"/>
        <v>100</v>
      </c>
      <c r="BP5" s="78">
        <f t="shared" si="7"/>
        <v>100</v>
      </c>
      <c r="BQ5" s="126">
        <v>3</v>
      </c>
      <c r="BR5" s="78" t="s">
        <v>88</v>
      </c>
      <c r="BS5" s="135"/>
    </row>
    <row r="6" spans="1:71" ht="15.75" thickBot="1" x14ac:dyDescent="0.3">
      <c r="A6" s="76"/>
      <c r="B6" s="163"/>
      <c r="C6" s="76"/>
      <c r="D6" s="163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164"/>
      <c r="BJ6" s="164"/>
      <c r="BK6" s="82"/>
      <c r="BL6" s="78">
        <f t="shared" si="3"/>
        <v>100</v>
      </c>
      <c r="BM6" s="78">
        <f t="shared" si="4"/>
        <v>100</v>
      </c>
      <c r="BN6" s="78">
        <f t="shared" si="5"/>
        <v>100</v>
      </c>
      <c r="BO6" s="78">
        <f t="shared" si="6"/>
        <v>100</v>
      </c>
      <c r="BP6" s="78">
        <f t="shared" si="7"/>
        <v>100</v>
      </c>
      <c r="BQ6" s="126">
        <v>4</v>
      </c>
      <c r="BR6" s="78" t="s">
        <v>88</v>
      </c>
      <c r="BS6" s="135"/>
    </row>
    <row r="7" spans="1:71" ht="15.75" thickBot="1" x14ac:dyDescent="0.3">
      <c r="A7" s="76"/>
      <c r="B7" s="163"/>
      <c r="C7" s="76"/>
      <c r="D7" s="163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164"/>
      <c r="BJ7" s="164"/>
      <c r="BK7" s="82"/>
      <c r="BL7" s="78">
        <f t="shared" si="3"/>
        <v>100</v>
      </c>
      <c r="BM7" s="78">
        <f t="shared" si="4"/>
        <v>100</v>
      </c>
      <c r="BN7" s="78">
        <f t="shared" si="5"/>
        <v>100</v>
      </c>
      <c r="BO7" s="78">
        <f t="shared" si="6"/>
        <v>100</v>
      </c>
      <c r="BP7" s="78">
        <f t="shared" si="7"/>
        <v>100</v>
      </c>
      <c r="BQ7" s="126">
        <v>5</v>
      </c>
      <c r="BR7" s="78" t="s">
        <v>88</v>
      </c>
      <c r="BS7" s="135"/>
    </row>
    <row r="8" spans="1:71" ht="15.75" thickBot="1" x14ac:dyDescent="0.3">
      <c r="A8" s="76"/>
      <c r="B8" s="163"/>
      <c r="C8" s="76"/>
      <c r="D8" s="163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164"/>
      <c r="BJ8" s="164"/>
      <c r="BK8" s="82"/>
      <c r="BL8" s="78">
        <f t="shared" si="3"/>
        <v>100</v>
      </c>
      <c r="BM8" s="78">
        <f t="shared" si="4"/>
        <v>100</v>
      </c>
      <c r="BN8" s="78">
        <f t="shared" si="5"/>
        <v>100</v>
      </c>
      <c r="BO8" s="78">
        <f t="shared" si="6"/>
        <v>100</v>
      </c>
      <c r="BP8" s="78">
        <f t="shared" si="7"/>
        <v>100</v>
      </c>
      <c r="BQ8" s="126">
        <v>6</v>
      </c>
      <c r="BR8" s="78" t="s">
        <v>88</v>
      </c>
      <c r="BS8" s="135"/>
    </row>
    <row r="9" spans="1:71" ht="15.75" thickBot="1" x14ac:dyDescent="0.3">
      <c r="A9" s="76"/>
      <c r="B9" s="163"/>
      <c r="C9" s="76"/>
      <c r="D9" s="163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164"/>
      <c r="BJ9" s="164"/>
      <c r="BK9" s="82"/>
      <c r="BL9" s="78">
        <f t="shared" si="3"/>
        <v>100</v>
      </c>
      <c r="BM9" s="78">
        <f t="shared" si="4"/>
        <v>100</v>
      </c>
      <c r="BN9" s="78">
        <f t="shared" si="5"/>
        <v>100</v>
      </c>
      <c r="BO9" s="78">
        <f t="shared" si="6"/>
        <v>100</v>
      </c>
      <c r="BP9" s="78">
        <f t="shared" si="7"/>
        <v>100</v>
      </c>
      <c r="BQ9" s="126">
        <v>7</v>
      </c>
      <c r="BR9" s="78" t="s">
        <v>88</v>
      </c>
      <c r="BS9" s="135"/>
    </row>
    <row r="10" spans="1:71" ht="15.75" thickBot="1" x14ac:dyDescent="0.3">
      <c r="A10" s="76"/>
      <c r="B10" s="163"/>
      <c r="C10" s="76"/>
      <c r="D10" s="163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164"/>
      <c r="BJ10" s="164"/>
      <c r="BK10" s="82"/>
      <c r="BL10" s="78">
        <f t="shared" si="3"/>
        <v>100</v>
      </c>
      <c r="BM10" s="78">
        <f t="shared" si="4"/>
        <v>100</v>
      </c>
      <c r="BN10" s="78">
        <f t="shared" si="5"/>
        <v>100</v>
      </c>
      <c r="BO10" s="78">
        <f t="shared" si="6"/>
        <v>100</v>
      </c>
      <c r="BP10" s="78">
        <f t="shared" si="7"/>
        <v>100</v>
      </c>
      <c r="BQ10" s="126">
        <v>8</v>
      </c>
      <c r="BR10" s="78" t="s">
        <v>88</v>
      </c>
      <c r="BS10" s="135"/>
    </row>
    <row r="11" spans="1:71" ht="15.75" thickBot="1" x14ac:dyDescent="0.3">
      <c r="A11" s="76"/>
      <c r="B11" s="163"/>
      <c r="C11" s="76"/>
      <c r="D11" s="163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164"/>
      <c r="BJ11" s="164"/>
      <c r="BK11" s="82"/>
      <c r="BL11" s="78">
        <f t="shared" si="3"/>
        <v>100</v>
      </c>
      <c r="BM11" s="78">
        <f t="shared" si="4"/>
        <v>100</v>
      </c>
      <c r="BN11" s="78">
        <f t="shared" si="5"/>
        <v>100</v>
      </c>
      <c r="BO11" s="78">
        <f t="shared" si="6"/>
        <v>100</v>
      </c>
      <c r="BP11" s="78">
        <f t="shared" si="7"/>
        <v>100</v>
      </c>
      <c r="BQ11" s="126">
        <v>9</v>
      </c>
      <c r="BR11" s="78" t="s">
        <v>88</v>
      </c>
      <c r="BS11" s="135"/>
    </row>
    <row r="12" spans="1:71" ht="15.75" thickBot="1" x14ac:dyDescent="0.3">
      <c r="A12" s="76"/>
      <c r="B12" s="163"/>
      <c r="C12" s="76"/>
      <c r="D12" s="163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164"/>
      <c r="BJ12" s="164"/>
      <c r="BK12" s="82"/>
      <c r="BL12" s="78">
        <f t="shared" si="3"/>
        <v>100</v>
      </c>
      <c r="BM12" s="78">
        <f t="shared" si="4"/>
        <v>100</v>
      </c>
      <c r="BN12" s="78">
        <f t="shared" si="5"/>
        <v>100</v>
      </c>
      <c r="BO12" s="78">
        <f t="shared" si="6"/>
        <v>100</v>
      </c>
      <c r="BP12" s="78">
        <f t="shared" si="7"/>
        <v>100</v>
      </c>
      <c r="BQ12" s="126">
        <v>10</v>
      </c>
      <c r="BR12" s="78" t="s">
        <v>88</v>
      </c>
      <c r="BS12" s="135"/>
    </row>
    <row r="13" spans="1:71" ht="15.75" thickBot="1" x14ac:dyDescent="0.3">
      <c r="A13" s="76"/>
      <c r="B13" s="163"/>
      <c r="C13" s="76"/>
      <c r="D13" s="16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164"/>
      <c r="BJ13" s="164"/>
      <c r="BK13" s="82"/>
      <c r="BL13" s="78">
        <f t="shared" si="3"/>
        <v>100</v>
      </c>
      <c r="BM13" s="78">
        <f t="shared" si="4"/>
        <v>100</v>
      </c>
      <c r="BN13" s="78">
        <f t="shared" si="5"/>
        <v>100</v>
      </c>
      <c r="BO13" s="78">
        <f t="shared" si="6"/>
        <v>100</v>
      </c>
      <c r="BP13" s="78">
        <f t="shared" si="7"/>
        <v>100</v>
      </c>
      <c r="BQ13" s="126">
        <v>11</v>
      </c>
      <c r="BR13" s="78" t="s">
        <v>88</v>
      </c>
      <c r="BS13" s="135"/>
    </row>
    <row r="14" spans="1:71" ht="15.75" thickBot="1" x14ac:dyDescent="0.3">
      <c r="A14" s="76"/>
      <c r="B14" s="163"/>
      <c r="C14" s="76"/>
      <c r="D14" s="163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164"/>
      <c r="BJ14" s="164"/>
      <c r="BK14" s="82"/>
      <c r="BL14" s="78">
        <f t="shared" si="3"/>
        <v>100</v>
      </c>
      <c r="BM14" s="78">
        <f t="shared" si="4"/>
        <v>100</v>
      </c>
      <c r="BN14" s="78">
        <f t="shared" si="5"/>
        <v>100</v>
      </c>
      <c r="BO14" s="78">
        <f t="shared" si="6"/>
        <v>100</v>
      </c>
      <c r="BP14" s="78">
        <f t="shared" si="7"/>
        <v>100</v>
      </c>
      <c r="BQ14" s="126">
        <v>12</v>
      </c>
      <c r="BR14" s="78" t="s">
        <v>88</v>
      </c>
      <c r="BS14" s="135"/>
    </row>
    <row r="15" spans="1:71" ht="15.75" thickBot="1" x14ac:dyDescent="0.3">
      <c r="A15" s="76"/>
      <c r="B15" s="163"/>
      <c r="C15" s="76"/>
      <c r="D15" s="16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76"/>
      <c r="BH15" s="76"/>
      <c r="BI15" s="164"/>
      <c r="BJ15" s="164"/>
      <c r="BK15" s="82"/>
      <c r="BL15" s="78">
        <f t="shared" si="3"/>
        <v>100</v>
      </c>
      <c r="BM15" s="78">
        <f t="shared" si="4"/>
        <v>100</v>
      </c>
      <c r="BN15" s="78">
        <f t="shared" si="5"/>
        <v>100</v>
      </c>
      <c r="BO15" s="78">
        <f t="shared" si="6"/>
        <v>100</v>
      </c>
      <c r="BP15" s="78">
        <f t="shared" si="7"/>
        <v>100</v>
      </c>
      <c r="BQ15" s="126">
        <v>13</v>
      </c>
      <c r="BR15" s="78" t="s">
        <v>88</v>
      </c>
      <c r="BS15" s="135"/>
    </row>
    <row r="16" spans="1:71" ht="15.75" thickBot="1" x14ac:dyDescent="0.3">
      <c r="A16" s="76"/>
      <c r="B16" s="163"/>
      <c r="C16" s="76"/>
      <c r="D16" s="163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76"/>
      <c r="BE16" s="76"/>
      <c r="BF16" s="76"/>
      <c r="BG16" s="76"/>
      <c r="BH16" s="76"/>
      <c r="BI16" s="164"/>
      <c r="BJ16" s="164"/>
      <c r="BK16" s="82"/>
      <c r="BL16" s="78">
        <f t="shared" si="3"/>
        <v>100</v>
      </c>
      <c r="BM16" s="78">
        <f t="shared" si="4"/>
        <v>100</v>
      </c>
      <c r="BN16" s="78">
        <f t="shared" si="5"/>
        <v>100</v>
      </c>
      <c r="BO16" s="78">
        <f t="shared" si="6"/>
        <v>100</v>
      </c>
      <c r="BP16" s="78">
        <f t="shared" si="7"/>
        <v>100</v>
      </c>
      <c r="BQ16" s="126">
        <v>14</v>
      </c>
      <c r="BR16" s="78" t="s">
        <v>88</v>
      </c>
      <c r="BS16" s="135"/>
    </row>
    <row r="17" spans="1:71" ht="15.75" thickBot="1" x14ac:dyDescent="0.3">
      <c r="A17" s="76"/>
      <c r="B17" s="163"/>
      <c r="C17" s="76"/>
      <c r="D17" s="16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164"/>
      <c r="BJ17" s="164"/>
      <c r="BK17" s="82"/>
      <c r="BL17" s="78">
        <f t="shared" si="3"/>
        <v>100</v>
      </c>
      <c r="BM17" s="78">
        <f t="shared" si="4"/>
        <v>100</v>
      </c>
      <c r="BN17" s="78">
        <f t="shared" si="5"/>
        <v>100</v>
      </c>
      <c r="BO17" s="78">
        <f t="shared" si="6"/>
        <v>100</v>
      </c>
      <c r="BP17" s="78">
        <f t="shared" si="7"/>
        <v>100</v>
      </c>
      <c r="BQ17" s="126">
        <v>15</v>
      </c>
      <c r="BR17" s="78" t="s">
        <v>88</v>
      </c>
      <c r="BS17" s="135"/>
    </row>
    <row r="18" spans="1:71" ht="15.75" thickBot="1" x14ac:dyDescent="0.3">
      <c r="A18" s="76"/>
      <c r="B18" s="163"/>
      <c r="C18" s="76"/>
      <c r="D18" s="163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76"/>
      <c r="BE18" s="76"/>
      <c r="BF18" s="76"/>
      <c r="BG18" s="76"/>
      <c r="BH18" s="76"/>
      <c r="BI18" s="164"/>
      <c r="BJ18" s="164"/>
      <c r="BK18" s="82"/>
      <c r="BL18" s="78">
        <f t="shared" si="3"/>
        <v>100</v>
      </c>
      <c r="BM18" s="78">
        <f t="shared" si="4"/>
        <v>100</v>
      </c>
      <c r="BN18" s="78">
        <f t="shared" si="5"/>
        <v>100</v>
      </c>
      <c r="BO18" s="78">
        <f t="shared" si="6"/>
        <v>100</v>
      </c>
      <c r="BP18" s="78">
        <f t="shared" si="7"/>
        <v>100</v>
      </c>
      <c r="BQ18" s="126">
        <v>16</v>
      </c>
      <c r="BR18" s="78" t="s">
        <v>88</v>
      </c>
      <c r="BS18" s="135"/>
    </row>
    <row r="19" spans="1:71" ht="15.75" thickBot="1" x14ac:dyDescent="0.3">
      <c r="A19" s="76"/>
      <c r="B19" s="163"/>
      <c r="C19" s="76"/>
      <c r="D19" s="16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164"/>
      <c r="BJ19" s="164"/>
      <c r="BK19" s="82"/>
      <c r="BL19" s="78">
        <f t="shared" si="3"/>
        <v>100</v>
      </c>
      <c r="BM19" s="78">
        <f t="shared" si="4"/>
        <v>100</v>
      </c>
      <c r="BN19" s="78">
        <f t="shared" si="5"/>
        <v>100</v>
      </c>
      <c r="BO19" s="78">
        <f t="shared" si="6"/>
        <v>100</v>
      </c>
      <c r="BP19" s="78">
        <f t="shared" si="7"/>
        <v>100</v>
      </c>
      <c r="BQ19" s="126">
        <v>17</v>
      </c>
      <c r="BR19" s="78" t="s">
        <v>88</v>
      </c>
      <c r="BS19" s="135"/>
    </row>
    <row r="20" spans="1:71" ht="15.75" thickBot="1" x14ac:dyDescent="0.3">
      <c r="A20" s="76"/>
      <c r="B20" s="163"/>
      <c r="C20" s="76"/>
      <c r="D20" s="163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164"/>
      <c r="BJ20" s="164"/>
      <c r="BK20" s="82"/>
      <c r="BL20" s="78">
        <f t="shared" si="3"/>
        <v>100</v>
      </c>
      <c r="BM20" s="78">
        <f t="shared" si="4"/>
        <v>100</v>
      </c>
      <c r="BN20" s="78">
        <f t="shared" si="5"/>
        <v>100</v>
      </c>
      <c r="BO20" s="78">
        <f t="shared" si="6"/>
        <v>100</v>
      </c>
      <c r="BP20" s="78">
        <f t="shared" si="7"/>
        <v>100</v>
      </c>
      <c r="BQ20" s="126">
        <v>18</v>
      </c>
      <c r="BR20" s="78" t="s">
        <v>88</v>
      </c>
      <c r="BS20" s="135"/>
    </row>
    <row r="21" spans="1:71" ht="15.75" thickBot="1" x14ac:dyDescent="0.3">
      <c r="A21" s="76"/>
      <c r="B21" s="163"/>
      <c r="C21" s="76"/>
      <c r="D21" s="16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164"/>
      <c r="BJ21" s="164"/>
      <c r="BK21" s="82"/>
      <c r="BL21" s="78">
        <f t="shared" si="3"/>
        <v>100</v>
      </c>
      <c r="BM21" s="78">
        <f t="shared" si="4"/>
        <v>100</v>
      </c>
      <c r="BN21" s="78">
        <f t="shared" si="5"/>
        <v>100</v>
      </c>
      <c r="BO21" s="78">
        <f t="shared" si="6"/>
        <v>100</v>
      </c>
      <c r="BP21" s="78">
        <f t="shared" si="7"/>
        <v>100</v>
      </c>
      <c r="BQ21" s="126">
        <v>19</v>
      </c>
      <c r="BR21" s="78" t="s">
        <v>88</v>
      </c>
      <c r="BS21" s="135"/>
    </row>
    <row r="22" spans="1:71" ht="15.75" thickBot="1" x14ac:dyDescent="0.3">
      <c r="A22" s="76"/>
      <c r="B22" s="163"/>
      <c r="C22" s="76"/>
      <c r="D22" s="163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164"/>
      <c r="BJ22" s="164"/>
      <c r="BK22" s="82"/>
      <c r="BL22" s="78">
        <f t="shared" si="3"/>
        <v>100</v>
      </c>
      <c r="BM22" s="78">
        <f t="shared" si="4"/>
        <v>100</v>
      </c>
      <c r="BN22" s="78">
        <f t="shared" si="5"/>
        <v>100</v>
      </c>
      <c r="BO22" s="78">
        <f t="shared" si="6"/>
        <v>100</v>
      </c>
      <c r="BP22" s="78">
        <f t="shared" si="7"/>
        <v>100</v>
      </c>
      <c r="BQ22" s="126">
        <v>20</v>
      </c>
      <c r="BR22" s="78" t="s">
        <v>88</v>
      </c>
      <c r="BS22" s="135"/>
    </row>
    <row r="23" spans="1:71" ht="15.75" thickBot="1" x14ac:dyDescent="0.3">
      <c r="A23" s="76"/>
      <c r="B23" s="163"/>
      <c r="C23" s="76"/>
      <c r="D23" s="16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164"/>
      <c r="BJ23" s="164"/>
      <c r="BK23" s="82"/>
      <c r="BL23" s="78">
        <f t="shared" si="3"/>
        <v>100</v>
      </c>
      <c r="BM23" s="78">
        <f t="shared" si="4"/>
        <v>100</v>
      </c>
      <c r="BN23" s="78">
        <f t="shared" si="5"/>
        <v>100</v>
      </c>
      <c r="BO23" s="78">
        <f t="shared" si="6"/>
        <v>100</v>
      </c>
      <c r="BP23" s="78">
        <f t="shared" si="7"/>
        <v>100</v>
      </c>
      <c r="BQ23" s="126">
        <v>21</v>
      </c>
      <c r="BR23" s="78" t="s">
        <v>88</v>
      </c>
      <c r="BS23" s="135"/>
    </row>
    <row r="24" spans="1:71" ht="15.75" thickBot="1" x14ac:dyDescent="0.3">
      <c r="A24" s="76"/>
      <c r="B24" s="163"/>
      <c r="C24" s="76"/>
      <c r="D24" s="163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164"/>
      <c r="BJ24" s="164"/>
      <c r="BK24" s="82"/>
      <c r="BL24" s="78">
        <f t="shared" si="3"/>
        <v>100</v>
      </c>
      <c r="BM24" s="78">
        <f t="shared" si="4"/>
        <v>100</v>
      </c>
      <c r="BN24" s="78">
        <f t="shared" si="5"/>
        <v>100</v>
      </c>
      <c r="BO24" s="78">
        <f t="shared" si="6"/>
        <v>100</v>
      </c>
      <c r="BP24" s="78">
        <f t="shared" si="7"/>
        <v>100</v>
      </c>
      <c r="BQ24" s="126">
        <v>22</v>
      </c>
      <c r="BR24" s="78" t="s">
        <v>88</v>
      </c>
      <c r="BS24" s="135"/>
    </row>
    <row r="25" spans="1:71" ht="15.75" thickBot="1" x14ac:dyDescent="0.3">
      <c r="A25" s="76"/>
      <c r="B25" s="163"/>
      <c r="C25" s="76"/>
      <c r="D25" s="16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164"/>
      <c r="BJ25" s="164"/>
      <c r="BK25" s="82"/>
      <c r="BL25" s="78">
        <f t="shared" si="3"/>
        <v>100</v>
      </c>
      <c r="BM25" s="78">
        <f t="shared" si="4"/>
        <v>100</v>
      </c>
      <c r="BN25" s="78">
        <f t="shared" si="5"/>
        <v>100</v>
      </c>
      <c r="BO25" s="78">
        <f t="shared" si="6"/>
        <v>100</v>
      </c>
      <c r="BP25" s="78">
        <f t="shared" si="7"/>
        <v>100</v>
      </c>
      <c r="BQ25" s="126">
        <v>23</v>
      </c>
      <c r="BR25" s="78" t="s">
        <v>88</v>
      </c>
      <c r="BS25" s="135"/>
    </row>
    <row r="26" spans="1:71" ht="15.75" thickBot="1" x14ac:dyDescent="0.3">
      <c r="A26" s="76"/>
      <c r="B26" s="163"/>
      <c r="C26" s="76"/>
      <c r="D26" s="163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164"/>
      <c r="BJ26" s="164"/>
      <c r="BK26" s="82"/>
      <c r="BL26" s="78">
        <f t="shared" si="3"/>
        <v>100</v>
      </c>
      <c r="BM26" s="78">
        <f t="shared" si="4"/>
        <v>100</v>
      </c>
      <c r="BN26" s="78">
        <f t="shared" si="5"/>
        <v>100</v>
      </c>
      <c r="BO26" s="78">
        <f t="shared" si="6"/>
        <v>100</v>
      </c>
      <c r="BP26" s="78">
        <f t="shared" si="7"/>
        <v>100</v>
      </c>
      <c r="BQ26" s="126">
        <v>24</v>
      </c>
      <c r="BR26" s="78" t="s">
        <v>88</v>
      </c>
      <c r="BS26" s="135"/>
    </row>
    <row r="27" spans="1:71" ht="15.75" thickBot="1" x14ac:dyDescent="0.3">
      <c r="A27" s="76"/>
      <c r="B27" s="163"/>
      <c r="C27" s="76"/>
      <c r="D27" s="16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164"/>
      <c r="BJ27" s="164"/>
      <c r="BK27" s="82"/>
      <c r="BL27" s="78">
        <f t="shared" si="3"/>
        <v>100</v>
      </c>
      <c r="BM27" s="78">
        <f t="shared" si="4"/>
        <v>100</v>
      </c>
      <c r="BN27" s="78">
        <f t="shared" si="5"/>
        <v>100</v>
      </c>
      <c r="BO27" s="78">
        <f t="shared" si="6"/>
        <v>100</v>
      </c>
      <c r="BP27" s="78">
        <f t="shared" si="7"/>
        <v>100</v>
      </c>
      <c r="BQ27" s="126">
        <v>25</v>
      </c>
      <c r="BR27" s="78" t="s">
        <v>88</v>
      </c>
      <c r="BS27" s="135"/>
    </row>
    <row r="28" spans="1:71" ht="15.75" thickBot="1" x14ac:dyDescent="0.3">
      <c r="A28" s="76"/>
      <c r="B28" s="163"/>
      <c r="C28" s="76"/>
      <c r="D28" s="163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164"/>
      <c r="BJ28" s="164"/>
      <c r="BK28" s="82"/>
      <c r="BL28" s="78">
        <f t="shared" si="3"/>
        <v>100</v>
      </c>
      <c r="BM28" s="78">
        <f t="shared" si="4"/>
        <v>100</v>
      </c>
      <c r="BN28" s="78">
        <f t="shared" si="5"/>
        <v>100</v>
      </c>
      <c r="BO28" s="78">
        <f t="shared" si="6"/>
        <v>100</v>
      </c>
      <c r="BP28" s="78">
        <f t="shared" si="7"/>
        <v>100</v>
      </c>
      <c r="BQ28" s="126">
        <v>26</v>
      </c>
      <c r="BR28" s="78" t="s">
        <v>88</v>
      </c>
      <c r="BS28" s="135"/>
    </row>
    <row r="29" spans="1:71" ht="15.75" thickBot="1" x14ac:dyDescent="0.3">
      <c r="A29" s="76"/>
      <c r="B29" s="163"/>
      <c r="C29" s="76"/>
      <c r="D29" s="16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164"/>
      <c r="BJ29" s="164"/>
      <c r="BK29" s="82"/>
      <c r="BL29" s="78">
        <f t="shared" si="3"/>
        <v>100</v>
      </c>
      <c r="BM29" s="78">
        <f t="shared" si="4"/>
        <v>100</v>
      </c>
      <c r="BN29" s="78">
        <f t="shared" si="5"/>
        <v>100</v>
      </c>
      <c r="BO29" s="78">
        <f t="shared" si="6"/>
        <v>100</v>
      </c>
      <c r="BP29" s="78">
        <f t="shared" si="7"/>
        <v>100</v>
      </c>
      <c r="BQ29" s="126">
        <v>27</v>
      </c>
      <c r="BR29" s="78" t="s">
        <v>88</v>
      </c>
      <c r="BS29" s="135"/>
    </row>
    <row r="30" spans="1:71" ht="15.75" thickBot="1" x14ac:dyDescent="0.3">
      <c r="A30" s="76"/>
      <c r="B30" s="163"/>
      <c r="C30" s="76"/>
      <c r="D30" s="163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  <c r="BG30" s="76"/>
      <c r="BH30" s="76"/>
      <c r="BI30" s="164"/>
      <c r="BJ30" s="164"/>
      <c r="BK30" s="82"/>
      <c r="BL30" s="78">
        <f t="shared" si="3"/>
        <v>100</v>
      </c>
      <c r="BM30" s="78">
        <f t="shared" si="4"/>
        <v>100</v>
      </c>
      <c r="BN30" s="78">
        <f t="shared" si="5"/>
        <v>100</v>
      </c>
      <c r="BO30" s="78">
        <f t="shared" si="6"/>
        <v>100</v>
      </c>
      <c r="BP30" s="78">
        <f t="shared" si="7"/>
        <v>100</v>
      </c>
      <c r="BQ30" s="126">
        <v>28</v>
      </c>
      <c r="BR30" s="78" t="s">
        <v>88</v>
      </c>
      <c r="BS30" s="135"/>
    </row>
    <row r="31" spans="1:71" ht="15.75" thickBot="1" x14ac:dyDescent="0.3">
      <c r="A31" s="76"/>
      <c r="B31" s="163"/>
      <c r="C31" s="76"/>
      <c r="D31" s="16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164"/>
      <c r="BJ31" s="164"/>
      <c r="BK31" s="82"/>
      <c r="BL31" s="78">
        <f t="shared" si="3"/>
        <v>100</v>
      </c>
      <c r="BM31" s="78">
        <f t="shared" si="4"/>
        <v>100</v>
      </c>
      <c r="BN31" s="78">
        <f t="shared" si="5"/>
        <v>100</v>
      </c>
      <c r="BO31" s="78">
        <f t="shared" si="6"/>
        <v>100</v>
      </c>
      <c r="BP31" s="78">
        <f t="shared" si="7"/>
        <v>100</v>
      </c>
      <c r="BQ31" s="126">
        <v>29</v>
      </c>
      <c r="BR31" s="78" t="s">
        <v>88</v>
      </c>
      <c r="BS31" s="135"/>
    </row>
    <row r="32" spans="1:71" ht="15.75" thickBot="1" x14ac:dyDescent="0.3">
      <c r="A32" s="76"/>
      <c r="B32" s="163"/>
      <c r="C32" s="76"/>
      <c r="D32" s="163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  <c r="BG32" s="76"/>
      <c r="BH32" s="76"/>
      <c r="BI32" s="164"/>
      <c r="BJ32" s="164"/>
      <c r="BK32" s="82"/>
      <c r="BL32" s="78">
        <f t="shared" si="3"/>
        <v>100</v>
      </c>
      <c r="BM32" s="78">
        <f t="shared" si="4"/>
        <v>100</v>
      </c>
      <c r="BN32" s="78">
        <f t="shared" si="5"/>
        <v>100</v>
      </c>
      <c r="BO32" s="78">
        <f t="shared" si="6"/>
        <v>100</v>
      </c>
      <c r="BP32" s="78">
        <f t="shared" si="7"/>
        <v>100</v>
      </c>
      <c r="BQ32" s="126">
        <v>30</v>
      </c>
      <c r="BR32" s="78" t="s">
        <v>88</v>
      </c>
      <c r="BS32" s="135"/>
    </row>
    <row r="33" spans="1:71" ht="15.75" thickBot="1" x14ac:dyDescent="0.3">
      <c r="A33" s="76"/>
      <c r="B33" s="163"/>
      <c r="C33" s="76"/>
      <c r="D33" s="16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164"/>
      <c r="BJ33" s="164"/>
      <c r="BK33" s="82"/>
      <c r="BL33" s="78">
        <f t="shared" si="3"/>
        <v>100</v>
      </c>
      <c r="BM33" s="78">
        <f t="shared" si="4"/>
        <v>100</v>
      </c>
      <c r="BN33" s="78">
        <f t="shared" si="5"/>
        <v>100</v>
      </c>
      <c r="BO33" s="78">
        <f t="shared" si="6"/>
        <v>100</v>
      </c>
      <c r="BP33" s="78">
        <f t="shared" si="7"/>
        <v>100</v>
      </c>
      <c r="BQ33" s="126">
        <v>31</v>
      </c>
      <c r="BR33" s="78" t="s">
        <v>88</v>
      </c>
      <c r="BS33" s="135"/>
    </row>
    <row r="34" spans="1:71" ht="15.75" thickBot="1" x14ac:dyDescent="0.3">
      <c r="A34" s="76"/>
      <c r="B34" s="163"/>
      <c r="C34" s="76"/>
      <c r="D34" s="163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164"/>
      <c r="BJ34" s="164"/>
      <c r="BK34" s="82"/>
      <c r="BL34" s="78">
        <f t="shared" si="3"/>
        <v>100</v>
      </c>
      <c r="BM34" s="78">
        <f t="shared" si="4"/>
        <v>100</v>
      </c>
      <c r="BN34" s="78">
        <f t="shared" si="5"/>
        <v>100</v>
      </c>
      <c r="BO34" s="78">
        <f t="shared" si="6"/>
        <v>100</v>
      </c>
      <c r="BP34" s="78">
        <f t="shared" si="7"/>
        <v>100</v>
      </c>
      <c r="BQ34" s="126">
        <v>32</v>
      </c>
      <c r="BR34" s="78" t="s">
        <v>88</v>
      </c>
      <c r="BS34" s="135"/>
    </row>
    <row r="35" spans="1:71" ht="15.75" thickBot="1" x14ac:dyDescent="0.3">
      <c r="A35" s="76"/>
      <c r="B35" s="163"/>
      <c r="C35" s="76"/>
      <c r="D35" s="16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164"/>
      <c r="BJ35" s="164"/>
      <c r="BK35" s="82"/>
      <c r="BL35" s="78">
        <f t="shared" si="3"/>
        <v>100</v>
      </c>
      <c r="BM35" s="78">
        <f t="shared" si="4"/>
        <v>100</v>
      </c>
      <c r="BN35" s="78">
        <f t="shared" si="5"/>
        <v>100</v>
      </c>
      <c r="BO35" s="78">
        <f t="shared" si="6"/>
        <v>100</v>
      </c>
      <c r="BP35" s="78">
        <f t="shared" si="7"/>
        <v>100</v>
      </c>
      <c r="BQ35" s="126">
        <v>33</v>
      </c>
      <c r="BR35" s="78" t="s">
        <v>88</v>
      </c>
      <c r="BS35" s="135"/>
    </row>
    <row r="36" spans="1:71" ht="15.75" thickBot="1" x14ac:dyDescent="0.3">
      <c r="A36" s="76"/>
      <c r="B36" s="163"/>
      <c r="C36" s="76"/>
      <c r="D36" s="163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164"/>
      <c r="BJ36" s="164"/>
      <c r="BK36" s="82"/>
      <c r="BL36" s="78">
        <f t="shared" si="3"/>
        <v>100</v>
      </c>
      <c r="BM36" s="78">
        <f t="shared" si="4"/>
        <v>100</v>
      </c>
      <c r="BN36" s="78">
        <f t="shared" si="5"/>
        <v>100</v>
      </c>
      <c r="BO36" s="78">
        <f t="shared" si="6"/>
        <v>100</v>
      </c>
      <c r="BP36" s="78">
        <f t="shared" si="7"/>
        <v>100</v>
      </c>
      <c r="BQ36" s="126">
        <v>34</v>
      </c>
      <c r="BR36" s="78" t="s">
        <v>88</v>
      </c>
      <c r="BS36" s="135"/>
    </row>
    <row r="37" spans="1:71" ht="15.75" thickBot="1" x14ac:dyDescent="0.3">
      <c r="A37" s="76"/>
      <c r="B37" s="163"/>
      <c r="C37" s="76"/>
      <c r="D37" s="163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164"/>
      <c r="BJ37" s="164"/>
      <c r="BK37" s="82"/>
      <c r="BL37" s="78">
        <f t="shared" si="3"/>
        <v>100</v>
      </c>
      <c r="BM37" s="78">
        <f t="shared" si="4"/>
        <v>100</v>
      </c>
      <c r="BN37" s="78">
        <f t="shared" si="5"/>
        <v>100</v>
      </c>
      <c r="BO37" s="78">
        <f t="shared" si="6"/>
        <v>100</v>
      </c>
      <c r="BP37" s="78">
        <f t="shared" si="7"/>
        <v>100</v>
      </c>
      <c r="BQ37" s="126">
        <v>35</v>
      </c>
      <c r="BR37" s="78" t="s">
        <v>88</v>
      </c>
      <c r="BS37" s="135"/>
    </row>
    <row r="38" spans="1:71" ht="15.75" thickBot="1" x14ac:dyDescent="0.3">
      <c r="A38" s="76"/>
      <c r="B38" s="163"/>
      <c r="C38" s="76"/>
      <c r="D38" s="163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164"/>
      <c r="BJ38" s="164"/>
      <c r="BK38" s="82"/>
      <c r="BL38" s="78">
        <f t="shared" si="3"/>
        <v>100</v>
      </c>
      <c r="BM38" s="78">
        <f t="shared" si="4"/>
        <v>100</v>
      </c>
      <c r="BN38" s="78">
        <f t="shared" si="5"/>
        <v>100</v>
      </c>
      <c r="BO38" s="78">
        <f t="shared" si="6"/>
        <v>100</v>
      </c>
      <c r="BP38" s="78">
        <f t="shared" si="7"/>
        <v>100</v>
      </c>
      <c r="BQ38" s="126">
        <v>36</v>
      </c>
      <c r="BR38" s="78" t="s">
        <v>88</v>
      </c>
      <c r="BS38" s="135"/>
    </row>
    <row r="39" spans="1:71" ht="15.75" thickBot="1" x14ac:dyDescent="0.3">
      <c r="A39" s="76"/>
      <c r="B39" s="163"/>
      <c r="C39" s="76"/>
      <c r="D39" s="163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164"/>
      <c r="BJ39" s="164"/>
      <c r="BK39" s="82"/>
      <c r="BL39" s="78">
        <f t="shared" si="3"/>
        <v>100</v>
      </c>
      <c r="BM39" s="78">
        <f t="shared" si="4"/>
        <v>100</v>
      </c>
      <c r="BN39" s="78">
        <f t="shared" si="5"/>
        <v>100</v>
      </c>
      <c r="BO39" s="78">
        <f t="shared" si="6"/>
        <v>100</v>
      </c>
      <c r="BP39" s="78">
        <f t="shared" si="7"/>
        <v>100</v>
      </c>
      <c r="BQ39" s="126">
        <v>37</v>
      </c>
      <c r="BR39" s="78" t="s">
        <v>88</v>
      </c>
      <c r="BS39" s="135"/>
    </row>
    <row r="40" spans="1:71" ht="15.75" thickBot="1" x14ac:dyDescent="0.3">
      <c r="A40" s="76"/>
      <c r="B40" s="163"/>
      <c r="C40" s="76"/>
      <c r="D40" s="163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164"/>
      <c r="BJ40" s="164"/>
      <c r="BK40" s="82"/>
      <c r="BL40" s="78">
        <f t="shared" si="3"/>
        <v>100</v>
      </c>
      <c r="BM40" s="78">
        <f t="shared" si="4"/>
        <v>100</v>
      </c>
      <c r="BN40" s="78">
        <f t="shared" si="5"/>
        <v>100</v>
      </c>
      <c r="BO40" s="78">
        <f t="shared" si="6"/>
        <v>100</v>
      </c>
      <c r="BP40" s="78">
        <f t="shared" si="7"/>
        <v>100</v>
      </c>
      <c r="BQ40" s="126">
        <v>38</v>
      </c>
      <c r="BR40" s="78" t="s">
        <v>88</v>
      </c>
      <c r="BS40" s="135"/>
    </row>
    <row r="41" spans="1:71" ht="15.75" thickBot="1" x14ac:dyDescent="0.3">
      <c r="A41" s="76"/>
      <c r="B41" s="163"/>
      <c r="C41" s="76"/>
      <c r="D41" s="163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164"/>
      <c r="BJ41" s="164"/>
      <c r="BK41" s="82"/>
      <c r="BL41" s="78">
        <f t="shared" si="3"/>
        <v>100</v>
      </c>
      <c r="BM41" s="78">
        <f t="shared" si="4"/>
        <v>100</v>
      </c>
      <c r="BN41" s="78">
        <f t="shared" si="5"/>
        <v>100</v>
      </c>
      <c r="BO41" s="78">
        <f t="shared" si="6"/>
        <v>100</v>
      </c>
      <c r="BP41" s="78">
        <f t="shared" si="7"/>
        <v>100</v>
      </c>
      <c r="BQ41" s="126">
        <v>39</v>
      </c>
      <c r="BR41" s="78" t="s">
        <v>88</v>
      </c>
      <c r="BS41" s="135"/>
    </row>
    <row r="42" spans="1:71" ht="15.75" thickBot="1" x14ac:dyDescent="0.3">
      <c r="A42" s="76"/>
      <c r="B42" s="163"/>
      <c r="C42" s="76"/>
      <c r="D42" s="163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164"/>
      <c r="BJ42" s="164"/>
      <c r="BK42" s="82"/>
      <c r="BL42" s="78">
        <f t="shared" si="3"/>
        <v>100</v>
      </c>
      <c r="BM42" s="78">
        <f t="shared" si="4"/>
        <v>100</v>
      </c>
      <c r="BN42" s="78">
        <f t="shared" si="5"/>
        <v>100</v>
      </c>
      <c r="BO42" s="78">
        <f t="shared" si="6"/>
        <v>100</v>
      </c>
      <c r="BP42" s="78">
        <f t="shared" si="7"/>
        <v>100</v>
      </c>
      <c r="BQ42" s="126">
        <v>40</v>
      </c>
      <c r="BR42" s="78" t="s">
        <v>88</v>
      </c>
      <c r="BS42" s="135"/>
    </row>
    <row r="43" spans="1:71" ht="15.75" thickBot="1" x14ac:dyDescent="0.3">
      <c r="A43" s="76"/>
      <c r="B43" s="163"/>
      <c r="C43" s="76"/>
      <c r="D43" s="163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164"/>
      <c r="BJ43" s="164"/>
      <c r="BK43" s="82"/>
      <c r="BL43" s="78">
        <f t="shared" si="3"/>
        <v>100</v>
      </c>
      <c r="BM43" s="78">
        <f t="shared" si="4"/>
        <v>100</v>
      </c>
      <c r="BN43" s="78">
        <f t="shared" si="5"/>
        <v>100</v>
      </c>
      <c r="BO43" s="78">
        <f t="shared" si="6"/>
        <v>100</v>
      </c>
      <c r="BP43" s="78">
        <f t="shared" si="7"/>
        <v>100</v>
      </c>
      <c r="BQ43" s="126">
        <v>41</v>
      </c>
      <c r="BR43" s="78" t="s">
        <v>88</v>
      </c>
      <c r="BS43" s="135"/>
    </row>
    <row r="44" spans="1:71" ht="15.75" thickBot="1" x14ac:dyDescent="0.3">
      <c r="A44" s="76"/>
      <c r="B44" s="163"/>
      <c r="C44" s="76"/>
      <c r="D44" s="163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  <c r="BF44" s="76"/>
      <c r="BG44" s="76"/>
      <c r="BH44" s="76"/>
      <c r="BI44" s="164"/>
      <c r="BJ44" s="164"/>
      <c r="BK44" s="82"/>
      <c r="BL44" s="78">
        <f t="shared" si="3"/>
        <v>100</v>
      </c>
      <c r="BM44" s="78">
        <f t="shared" si="4"/>
        <v>100</v>
      </c>
      <c r="BN44" s="78">
        <f t="shared" si="5"/>
        <v>100</v>
      </c>
      <c r="BO44" s="78">
        <f t="shared" si="6"/>
        <v>100</v>
      </c>
      <c r="BP44" s="78">
        <f t="shared" si="7"/>
        <v>100</v>
      </c>
      <c r="BQ44" s="126">
        <v>42</v>
      </c>
      <c r="BR44" s="78" t="s">
        <v>88</v>
      </c>
      <c r="BS44" s="135"/>
    </row>
    <row r="45" spans="1:71" ht="15.75" thickBot="1" x14ac:dyDescent="0.3">
      <c r="A45" s="76"/>
      <c r="B45" s="163"/>
      <c r="C45" s="76"/>
      <c r="D45" s="163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  <c r="BF45" s="76"/>
      <c r="BG45" s="76"/>
      <c r="BH45" s="76"/>
      <c r="BI45" s="164"/>
      <c r="BJ45" s="164"/>
      <c r="BK45" s="82"/>
      <c r="BL45" s="78">
        <f t="shared" si="3"/>
        <v>100</v>
      </c>
      <c r="BM45" s="78">
        <f t="shared" si="4"/>
        <v>100</v>
      </c>
      <c r="BN45" s="78">
        <f t="shared" si="5"/>
        <v>100</v>
      </c>
      <c r="BO45" s="78">
        <f t="shared" si="6"/>
        <v>100</v>
      </c>
      <c r="BP45" s="78">
        <f t="shared" si="7"/>
        <v>100</v>
      </c>
      <c r="BQ45" s="126">
        <v>43</v>
      </c>
      <c r="BR45" s="78" t="s">
        <v>88</v>
      </c>
      <c r="BS45" s="135"/>
    </row>
    <row r="46" spans="1:71" ht="15.75" thickBot="1" x14ac:dyDescent="0.3">
      <c r="A46" s="76"/>
      <c r="B46" s="163"/>
      <c r="C46" s="76"/>
      <c r="D46" s="163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164"/>
      <c r="BJ46" s="164"/>
      <c r="BK46" s="82"/>
      <c r="BL46" s="78">
        <f t="shared" si="3"/>
        <v>100</v>
      </c>
      <c r="BM46" s="78">
        <f t="shared" si="4"/>
        <v>100</v>
      </c>
      <c r="BN46" s="78">
        <f t="shared" si="5"/>
        <v>100</v>
      </c>
      <c r="BO46" s="78">
        <f t="shared" si="6"/>
        <v>100</v>
      </c>
      <c r="BP46" s="78">
        <f t="shared" si="7"/>
        <v>100</v>
      </c>
      <c r="BQ46" s="126">
        <v>44</v>
      </c>
      <c r="BR46" s="78" t="s">
        <v>88</v>
      </c>
      <c r="BS46" s="135"/>
    </row>
    <row r="47" spans="1:71" ht="15.75" thickBot="1" x14ac:dyDescent="0.3">
      <c r="A47" s="76"/>
      <c r="B47" s="163"/>
      <c r="C47" s="76"/>
      <c r="D47" s="163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164"/>
      <c r="BJ47" s="164"/>
      <c r="BK47" s="82"/>
      <c r="BL47" s="78">
        <f t="shared" si="3"/>
        <v>100</v>
      </c>
      <c r="BM47" s="78">
        <f t="shared" si="4"/>
        <v>100</v>
      </c>
      <c r="BN47" s="78">
        <f t="shared" si="5"/>
        <v>100</v>
      </c>
      <c r="BO47" s="78">
        <f t="shared" si="6"/>
        <v>100</v>
      </c>
      <c r="BP47" s="78">
        <f t="shared" si="7"/>
        <v>100</v>
      </c>
      <c r="BQ47" s="126">
        <v>45</v>
      </c>
      <c r="BR47" s="78" t="s">
        <v>88</v>
      </c>
      <c r="BS47" s="135"/>
    </row>
    <row r="48" spans="1:71" ht="15.75" thickBot="1" x14ac:dyDescent="0.3">
      <c r="A48" s="76"/>
      <c r="B48" s="163"/>
      <c r="C48" s="76"/>
      <c r="D48" s="163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164"/>
      <c r="BJ48" s="164"/>
      <c r="BK48" s="82"/>
      <c r="BL48" s="78">
        <f t="shared" si="3"/>
        <v>100</v>
      </c>
      <c r="BM48" s="78">
        <f t="shared" si="4"/>
        <v>100</v>
      </c>
      <c r="BN48" s="78">
        <f t="shared" si="5"/>
        <v>100</v>
      </c>
      <c r="BO48" s="78">
        <f t="shared" si="6"/>
        <v>100</v>
      </c>
      <c r="BP48" s="78">
        <f t="shared" si="7"/>
        <v>100</v>
      </c>
      <c r="BQ48" s="126">
        <v>46</v>
      </c>
      <c r="BR48" s="78" t="s">
        <v>88</v>
      </c>
      <c r="BS48" s="135"/>
    </row>
    <row r="49" spans="1:71" ht="15.75" thickBot="1" x14ac:dyDescent="0.3">
      <c r="A49" s="76"/>
      <c r="B49" s="163"/>
      <c r="C49" s="76"/>
      <c r="D49" s="163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164"/>
      <c r="BJ49" s="164"/>
      <c r="BK49" s="82"/>
      <c r="BL49" s="78">
        <f t="shared" si="3"/>
        <v>100</v>
      </c>
      <c r="BM49" s="78">
        <f t="shared" si="4"/>
        <v>100</v>
      </c>
      <c r="BN49" s="78">
        <f t="shared" si="5"/>
        <v>100</v>
      </c>
      <c r="BO49" s="78">
        <f t="shared" si="6"/>
        <v>100</v>
      </c>
      <c r="BP49" s="78">
        <f t="shared" si="7"/>
        <v>100</v>
      </c>
      <c r="BQ49" s="126">
        <v>47</v>
      </c>
      <c r="BR49" s="78" t="s">
        <v>88</v>
      </c>
      <c r="BS49" s="135"/>
    </row>
    <row r="50" spans="1:71" ht="15.75" thickBot="1" x14ac:dyDescent="0.3">
      <c r="A50" s="76"/>
      <c r="B50" s="163"/>
      <c r="C50" s="76"/>
      <c r="D50" s="163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164"/>
      <c r="BJ50" s="164"/>
      <c r="BK50" s="82"/>
      <c r="BL50" s="78">
        <f t="shared" si="3"/>
        <v>100</v>
      </c>
      <c r="BM50" s="78">
        <f t="shared" si="4"/>
        <v>100</v>
      </c>
      <c r="BN50" s="78">
        <f t="shared" si="5"/>
        <v>100</v>
      </c>
      <c r="BO50" s="78">
        <f t="shared" si="6"/>
        <v>100</v>
      </c>
      <c r="BP50" s="78">
        <f t="shared" si="7"/>
        <v>100</v>
      </c>
      <c r="BQ50" s="126">
        <v>48</v>
      </c>
      <c r="BR50" s="78" t="s">
        <v>88</v>
      </c>
      <c r="BS50" s="135"/>
    </row>
    <row r="51" spans="1:71" ht="15.75" thickBot="1" x14ac:dyDescent="0.3">
      <c r="A51" s="76"/>
      <c r="B51" s="163"/>
      <c r="C51" s="76"/>
      <c r="D51" s="163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164"/>
      <c r="BJ51" s="164"/>
      <c r="BK51" s="82"/>
      <c r="BL51" s="78">
        <f t="shared" si="3"/>
        <v>100</v>
      </c>
      <c r="BM51" s="78">
        <f t="shared" si="4"/>
        <v>100</v>
      </c>
      <c r="BN51" s="78">
        <f t="shared" si="5"/>
        <v>100</v>
      </c>
      <c r="BO51" s="78">
        <f t="shared" si="6"/>
        <v>100</v>
      </c>
      <c r="BP51" s="78">
        <f t="shared" si="7"/>
        <v>100</v>
      </c>
      <c r="BQ51" s="126">
        <v>49</v>
      </c>
      <c r="BR51" s="78" t="s">
        <v>88</v>
      </c>
      <c r="BS51" s="135"/>
    </row>
    <row r="52" spans="1:71" ht="15.75" thickBot="1" x14ac:dyDescent="0.3">
      <c r="A52" s="76"/>
      <c r="B52" s="163"/>
      <c r="C52" s="76"/>
      <c r="D52" s="163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164"/>
      <c r="BJ52" s="164"/>
      <c r="BK52" s="82"/>
      <c r="BL52" s="78">
        <f t="shared" si="3"/>
        <v>100</v>
      </c>
      <c r="BM52" s="78">
        <f t="shared" si="4"/>
        <v>100</v>
      </c>
      <c r="BN52" s="78">
        <f t="shared" si="5"/>
        <v>100</v>
      </c>
      <c r="BO52" s="78">
        <f t="shared" si="6"/>
        <v>100</v>
      </c>
      <c r="BP52" s="78">
        <f t="shared" si="7"/>
        <v>100</v>
      </c>
      <c r="BQ52" s="126">
        <v>50</v>
      </c>
      <c r="BR52" s="78" t="s">
        <v>88</v>
      </c>
      <c r="BS52" s="135"/>
    </row>
    <row r="53" spans="1:71" ht="15.75" thickBot="1" x14ac:dyDescent="0.3">
      <c r="A53" s="76"/>
      <c r="B53" s="163"/>
      <c r="C53" s="76"/>
      <c r="D53" s="163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164"/>
      <c r="BJ53" s="164"/>
      <c r="BK53" s="82"/>
      <c r="BL53" s="78">
        <f t="shared" si="3"/>
        <v>100</v>
      </c>
      <c r="BM53" s="78">
        <f t="shared" si="4"/>
        <v>100</v>
      </c>
      <c r="BN53" s="78">
        <f t="shared" si="5"/>
        <v>100</v>
      </c>
      <c r="BO53" s="78">
        <f t="shared" si="6"/>
        <v>100</v>
      </c>
      <c r="BP53" s="78">
        <f t="shared" si="7"/>
        <v>100</v>
      </c>
      <c r="BQ53" s="126">
        <v>51</v>
      </c>
      <c r="BR53" s="78" t="s">
        <v>88</v>
      </c>
      <c r="BS53" s="135"/>
    </row>
    <row r="54" spans="1:71" ht="15.75" thickBot="1" x14ac:dyDescent="0.3">
      <c r="A54" s="76"/>
      <c r="B54" s="163"/>
      <c r="C54" s="76"/>
      <c r="D54" s="163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164"/>
      <c r="BJ54" s="164"/>
      <c r="BK54" s="82"/>
      <c r="BL54" s="78">
        <f t="shared" si="3"/>
        <v>100</v>
      </c>
      <c r="BM54" s="78">
        <f t="shared" si="4"/>
        <v>100</v>
      </c>
      <c r="BN54" s="78">
        <f t="shared" si="5"/>
        <v>100</v>
      </c>
      <c r="BO54" s="78">
        <f t="shared" si="6"/>
        <v>100</v>
      </c>
      <c r="BP54" s="78">
        <f t="shared" si="7"/>
        <v>100</v>
      </c>
      <c r="BQ54" s="126">
        <v>52</v>
      </c>
      <c r="BR54" s="78" t="s">
        <v>88</v>
      </c>
      <c r="BS54" s="135"/>
    </row>
    <row r="55" spans="1:71" ht="15.75" thickBot="1" x14ac:dyDescent="0.3">
      <c r="A55" s="76"/>
      <c r="B55" s="163"/>
      <c r="C55" s="76"/>
      <c r="D55" s="163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164"/>
      <c r="BJ55" s="164"/>
      <c r="BK55" s="82"/>
      <c r="BL55" s="78">
        <f t="shared" si="3"/>
        <v>100</v>
      </c>
      <c r="BM55" s="78">
        <f t="shared" si="4"/>
        <v>100</v>
      </c>
      <c r="BN55" s="78">
        <f t="shared" si="5"/>
        <v>100</v>
      </c>
      <c r="BO55" s="78">
        <f t="shared" si="6"/>
        <v>100</v>
      </c>
      <c r="BP55" s="78">
        <f t="shared" si="7"/>
        <v>100</v>
      </c>
      <c r="BQ55" s="126">
        <v>53</v>
      </c>
      <c r="BR55" s="78" t="s">
        <v>88</v>
      </c>
      <c r="BS55" s="135"/>
    </row>
    <row r="56" spans="1:71" ht="15.75" thickBot="1" x14ac:dyDescent="0.3">
      <c r="A56" s="76"/>
      <c r="B56" s="163"/>
      <c r="C56" s="76"/>
      <c r="D56" s="163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164"/>
      <c r="BJ56" s="164"/>
      <c r="BK56" s="82"/>
      <c r="BL56" s="78">
        <f t="shared" si="3"/>
        <v>100</v>
      </c>
      <c r="BM56" s="78">
        <f t="shared" si="4"/>
        <v>100</v>
      </c>
      <c r="BN56" s="78">
        <f t="shared" si="5"/>
        <v>100</v>
      </c>
      <c r="BO56" s="78">
        <f t="shared" si="6"/>
        <v>100</v>
      </c>
      <c r="BP56" s="78">
        <f t="shared" si="7"/>
        <v>100</v>
      </c>
      <c r="BQ56" s="126">
        <v>54</v>
      </c>
      <c r="BR56" s="78" t="s">
        <v>88</v>
      </c>
      <c r="BS56" s="135"/>
    </row>
    <row r="57" spans="1:71" ht="15.75" thickBot="1" x14ac:dyDescent="0.3">
      <c r="A57" s="76"/>
      <c r="B57" s="163"/>
      <c r="C57" s="76"/>
      <c r="D57" s="163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164"/>
      <c r="BJ57" s="164"/>
      <c r="BK57" s="82"/>
      <c r="BL57" s="78">
        <f t="shared" si="3"/>
        <v>100</v>
      </c>
      <c r="BM57" s="78">
        <f t="shared" si="4"/>
        <v>100</v>
      </c>
      <c r="BN57" s="78">
        <f t="shared" si="5"/>
        <v>100</v>
      </c>
      <c r="BO57" s="78">
        <f t="shared" si="6"/>
        <v>100</v>
      </c>
      <c r="BP57" s="78">
        <f t="shared" si="7"/>
        <v>100</v>
      </c>
      <c r="BQ57" s="126">
        <v>55</v>
      </c>
      <c r="BR57" s="78" t="s">
        <v>88</v>
      </c>
      <c r="BS57" s="135"/>
    </row>
    <row r="58" spans="1:71" ht="15.75" thickBot="1" x14ac:dyDescent="0.3">
      <c r="A58" s="76"/>
      <c r="B58" s="163"/>
      <c r="C58" s="76"/>
      <c r="D58" s="163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164"/>
      <c r="BJ58" s="164"/>
      <c r="BK58" s="82"/>
      <c r="BL58" s="78">
        <f t="shared" si="3"/>
        <v>100</v>
      </c>
      <c r="BM58" s="78">
        <f t="shared" si="4"/>
        <v>100</v>
      </c>
      <c r="BN58" s="78">
        <f t="shared" si="5"/>
        <v>100</v>
      </c>
      <c r="BO58" s="78">
        <f t="shared" si="6"/>
        <v>100</v>
      </c>
      <c r="BP58" s="78">
        <f t="shared" si="7"/>
        <v>100</v>
      </c>
      <c r="BQ58" s="126">
        <v>56</v>
      </c>
      <c r="BR58" s="78" t="s">
        <v>88</v>
      </c>
      <c r="BS58" s="135"/>
    </row>
    <row r="59" spans="1:71" ht="15.75" thickBot="1" x14ac:dyDescent="0.3">
      <c r="A59" s="76"/>
      <c r="B59" s="163"/>
      <c r="C59" s="76"/>
      <c r="D59" s="163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164"/>
      <c r="BJ59" s="164"/>
      <c r="BK59" s="82"/>
      <c r="BL59" s="78">
        <f t="shared" si="3"/>
        <v>100</v>
      </c>
      <c r="BM59" s="78">
        <f t="shared" si="4"/>
        <v>100</v>
      </c>
      <c r="BN59" s="78">
        <f t="shared" si="5"/>
        <v>100</v>
      </c>
      <c r="BO59" s="78">
        <f t="shared" si="6"/>
        <v>100</v>
      </c>
      <c r="BP59" s="78">
        <f t="shared" si="7"/>
        <v>100</v>
      </c>
      <c r="BQ59" s="126">
        <v>57</v>
      </c>
      <c r="BR59" s="78" t="s">
        <v>88</v>
      </c>
      <c r="BS59" s="135"/>
    </row>
    <row r="60" spans="1:71" ht="15.75" thickBot="1" x14ac:dyDescent="0.3">
      <c r="A60" s="76"/>
      <c r="B60" s="163"/>
      <c r="C60" s="76"/>
      <c r="D60" s="163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164"/>
      <c r="BJ60" s="164"/>
      <c r="BK60" s="82"/>
      <c r="BL60" s="78">
        <f t="shared" si="3"/>
        <v>100</v>
      </c>
      <c r="BM60" s="78">
        <f t="shared" si="4"/>
        <v>100</v>
      </c>
      <c r="BN60" s="78">
        <f t="shared" si="5"/>
        <v>100</v>
      </c>
      <c r="BO60" s="78">
        <f t="shared" si="6"/>
        <v>100</v>
      </c>
      <c r="BP60" s="78">
        <f t="shared" si="7"/>
        <v>100</v>
      </c>
      <c r="BQ60" s="126">
        <v>58</v>
      </c>
      <c r="BR60" s="78" t="s">
        <v>88</v>
      </c>
      <c r="BS60" s="135"/>
    </row>
    <row r="61" spans="1:71" ht="15.75" thickBot="1" x14ac:dyDescent="0.3">
      <c r="A61" s="76"/>
      <c r="B61" s="163"/>
      <c r="C61" s="76"/>
      <c r="D61" s="163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164"/>
      <c r="BJ61" s="164"/>
      <c r="BK61" s="82"/>
      <c r="BL61" s="78">
        <f t="shared" si="3"/>
        <v>100</v>
      </c>
      <c r="BM61" s="78">
        <f t="shared" si="4"/>
        <v>100</v>
      </c>
      <c r="BN61" s="78">
        <f t="shared" si="5"/>
        <v>100</v>
      </c>
      <c r="BO61" s="78">
        <f t="shared" si="6"/>
        <v>100</v>
      </c>
      <c r="BP61" s="78">
        <f t="shared" si="7"/>
        <v>100</v>
      </c>
      <c r="BQ61" s="126">
        <v>59</v>
      </c>
      <c r="BR61" s="78" t="s">
        <v>88</v>
      </c>
      <c r="BS61" s="135"/>
    </row>
    <row r="62" spans="1:71" ht="15.75" thickBot="1" x14ac:dyDescent="0.3">
      <c r="A62" s="76"/>
      <c r="B62" s="163"/>
      <c r="C62" s="76"/>
      <c r="D62" s="163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164"/>
      <c r="BJ62" s="164"/>
      <c r="BK62" s="82"/>
      <c r="BL62" s="78">
        <f t="shared" si="3"/>
        <v>100</v>
      </c>
      <c r="BM62" s="78">
        <f t="shared" si="4"/>
        <v>100</v>
      </c>
      <c r="BN62" s="78">
        <f t="shared" si="5"/>
        <v>100</v>
      </c>
      <c r="BO62" s="78">
        <f t="shared" si="6"/>
        <v>100</v>
      </c>
      <c r="BP62" s="78">
        <f t="shared" si="7"/>
        <v>100</v>
      </c>
      <c r="BQ62" s="126">
        <v>60</v>
      </c>
      <c r="BR62" s="78" t="s">
        <v>88</v>
      </c>
      <c r="BS62" s="135"/>
    </row>
    <row r="63" spans="1:71" ht="15.75" thickBot="1" x14ac:dyDescent="0.3">
      <c r="A63" s="76"/>
      <c r="B63" s="163"/>
      <c r="C63" s="76"/>
      <c r="D63" s="163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164"/>
      <c r="BJ63" s="164"/>
      <c r="BK63" s="82"/>
      <c r="BL63" s="78">
        <f t="shared" si="3"/>
        <v>100</v>
      </c>
      <c r="BM63" s="78">
        <f t="shared" si="4"/>
        <v>100</v>
      </c>
      <c r="BN63" s="78">
        <f t="shared" si="5"/>
        <v>100</v>
      </c>
      <c r="BO63" s="78">
        <f t="shared" si="6"/>
        <v>100</v>
      </c>
      <c r="BP63" s="78">
        <f t="shared" si="7"/>
        <v>100</v>
      </c>
      <c r="BQ63" s="126">
        <v>61</v>
      </c>
      <c r="BR63" s="78" t="s">
        <v>88</v>
      </c>
      <c r="BS63" s="135"/>
    </row>
    <row r="64" spans="1:71" ht="15.75" thickBot="1" x14ac:dyDescent="0.3">
      <c r="A64" s="76"/>
      <c r="B64" s="163"/>
      <c r="C64" s="76"/>
      <c r="D64" s="163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164"/>
      <c r="BJ64" s="164"/>
      <c r="BK64" s="82"/>
      <c r="BL64" s="78">
        <f t="shared" si="3"/>
        <v>100</v>
      </c>
      <c r="BM64" s="78">
        <f t="shared" si="4"/>
        <v>100</v>
      </c>
      <c r="BN64" s="78">
        <f t="shared" si="5"/>
        <v>100</v>
      </c>
      <c r="BO64" s="78">
        <f t="shared" si="6"/>
        <v>100</v>
      </c>
      <c r="BP64" s="78">
        <f t="shared" si="7"/>
        <v>100</v>
      </c>
      <c r="BQ64" s="126">
        <v>62</v>
      </c>
      <c r="BR64" s="78" t="s">
        <v>88</v>
      </c>
      <c r="BS64" s="135"/>
    </row>
    <row r="65" spans="1:71" ht="15.75" thickBot="1" x14ac:dyDescent="0.3">
      <c r="A65" s="76"/>
      <c r="B65" s="163"/>
      <c r="C65" s="76"/>
      <c r="D65" s="163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164"/>
      <c r="BJ65" s="164"/>
      <c r="BK65" s="82"/>
      <c r="BL65" s="78">
        <f t="shared" si="3"/>
        <v>100</v>
      </c>
      <c r="BM65" s="78">
        <f t="shared" si="4"/>
        <v>100</v>
      </c>
      <c r="BN65" s="78">
        <f t="shared" si="5"/>
        <v>100</v>
      </c>
      <c r="BO65" s="78">
        <f t="shared" si="6"/>
        <v>100</v>
      </c>
      <c r="BP65" s="78">
        <f t="shared" si="7"/>
        <v>100</v>
      </c>
      <c r="BQ65" s="126">
        <v>63</v>
      </c>
      <c r="BR65" s="78" t="s">
        <v>88</v>
      </c>
      <c r="BS65" s="135"/>
    </row>
    <row r="66" spans="1:71" ht="15.75" thickBot="1" x14ac:dyDescent="0.3">
      <c r="A66" s="76"/>
      <c r="B66" s="163"/>
      <c r="C66" s="76"/>
      <c r="D66" s="163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164"/>
      <c r="BJ66" s="164"/>
      <c r="BK66" s="82"/>
      <c r="BL66" s="78">
        <f t="shared" si="3"/>
        <v>100</v>
      </c>
      <c r="BM66" s="78">
        <f t="shared" si="4"/>
        <v>100</v>
      </c>
      <c r="BN66" s="78">
        <f t="shared" si="5"/>
        <v>100</v>
      </c>
      <c r="BO66" s="78">
        <f t="shared" si="6"/>
        <v>100</v>
      </c>
      <c r="BP66" s="78">
        <f t="shared" si="7"/>
        <v>100</v>
      </c>
      <c r="BQ66" s="126">
        <v>64</v>
      </c>
      <c r="BR66" s="78" t="s">
        <v>88</v>
      </c>
      <c r="BS66" s="135"/>
    </row>
    <row r="67" spans="1:71" ht="15.75" thickBot="1" x14ac:dyDescent="0.3">
      <c r="A67" s="76"/>
      <c r="B67" s="163"/>
      <c r="C67" s="76"/>
      <c r="D67" s="163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164"/>
      <c r="BJ67" s="164"/>
      <c r="BK67" s="82"/>
      <c r="BL67" s="78">
        <f t="shared" si="3"/>
        <v>100</v>
      </c>
      <c r="BM67" s="78">
        <f t="shared" si="4"/>
        <v>100</v>
      </c>
      <c r="BN67" s="78">
        <f t="shared" si="5"/>
        <v>100</v>
      </c>
      <c r="BO67" s="78">
        <f t="shared" si="6"/>
        <v>100</v>
      </c>
      <c r="BP67" s="78">
        <f t="shared" si="7"/>
        <v>100</v>
      </c>
      <c r="BQ67" s="126">
        <v>65</v>
      </c>
      <c r="BR67" s="78" t="s">
        <v>88</v>
      </c>
      <c r="BS67" s="135"/>
    </row>
    <row r="68" spans="1:71" ht="15.75" thickBot="1" x14ac:dyDescent="0.3">
      <c r="A68" s="76"/>
      <c r="B68" s="163"/>
      <c r="C68" s="76"/>
      <c r="D68" s="163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164"/>
      <c r="BJ68" s="164"/>
      <c r="BK68" s="82"/>
      <c r="BL68" s="78">
        <f t="shared" ref="BL68:BL82" si="8">(IF(K68="NO",0,$K$1)+IF(L68="NO",0,$L$1)+IF(M68="NO",0,$M$1)+IF(N68="NO",0,$N$1)+IF(O68="NO",0,$O$1)+IF(P68="NO",0,$P$1)+IF(R68="NO",0,$R$1)+IF(S68="NO",0,$S$1)+IF(T68="NO",0,$T$1)+IF(U68="NO",0,$U$1)+IF(V68="NO",0,$V$1)+IF(W68="NO",0,$W$1)+IF(X68="NO",0,$X$1)+IF(Y68="NO",0,$Y$1)+IF(Z68="NO",0,$Z$1))+15</f>
        <v>100</v>
      </c>
      <c r="BM68" s="78">
        <f t="shared" ref="BM68:BM82" si="9">IF(AA68="NO",0,$AA$1)+IF(AB68="NO",0,$AB$1)+IF(AC68="NO",0,$AC$1)+IF(AD68="NO",0,$AD$1)+IF(AE68="NO",0,$AE$1)+IF(AF68="NO",0,$AF$1)+IF(AG68="NO",0,$AG$1)+IF(AH68="NO",0,$AH$1)+IF(AI68="NO",0,$AI$1)+IF(AJ68="NO",0,$AJ$1)+IF(AK68="NO",0,$AK$1)+IF(AL68="NO",0,$AL$1)+IF(AM68="NO",0,$AM$1)+IF(AN68="NO",0,$AN$1)+IF(AO68="NO",0,$AO$1)+IF(AP68="NO",0,$AP$1)</f>
        <v>100</v>
      </c>
      <c r="BN68" s="78">
        <f t="shared" ref="BN68:BN82" si="10">IF(AQ68="NO",0,$AQ$1)+IF(AR68="NO",0,$AR$1)+IF(AS68="NO",0,$AS$1)+IF(AT68="NO",0,$AT$1)+IF(AU68="NO",0,$AU$1)+IF(AV68="NO",0,$AV$1)+IF(AW68="NO",0,$AW$1)+IF(AX68="NO",0,$AX$1)+IF(AY68="NO",0,$AY$1)+IF(AZ68="NO",0,$AZ$1)+IF(BA68="NO",0,$BA$1)</f>
        <v>100</v>
      </c>
      <c r="BO68" s="78">
        <f t="shared" ref="BO68:BO82" si="11">IF(BB68="NO",0,$BB$1)+IF(BC68="NO",0,$BC$1)+IF(BD68="NO",0,$BD$1)+IF(BE68="NO",0,$BE$1)+IF(BF68="NO",0,$BF$1)+IF(BG68="NO",0,$BG$1)</f>
        <v>100</v>
      </c>
      <c r="BP68" s="78">
        <f t="shared" ref="BP68:BP82" si="12">IF(BH68="NO",0,$BH$1)</f>
        <v>100</v>
      </c>
      <c r="BQ68" s="126">
        <v>66</v>
      </c>
      <c r="BR68" s="78" t="s">
        <v>88</v>
      </c>
      <c r="BS68" s="135"/>
    </row>
    <row r="69" spans="1:71" ht="15.75" thickBot="1" x14ac:dyDescent="0.3">
      <c r="A69" s="76"/>
      <c r="B69" s="163"/>
      <c r="C69" s="76"/>
      <c r="D69" s="163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164"/>
      <c r="BJ69" s="164"/>
      <c r="BK69" s="82"/>
      <c r="BL69" s="78">
        <f t="shared" si="8"/>
        <v>100</v>
      </c>
      <c r="BM69" s="78">
        <f t="shared" si="9"/>
        <v>100</v>
      </c>
      <c r="BN69" s="78">
        <f t="shared" si="10"/>
        <v>100</v>
      </c>
      <c r="BO69" s="78">
        <f t="shared" si="11"/>
        <v>100</v>
      </c>
      <c r="BP69" s="78">
        <f t="shared" si="12"/>
        <v>100</v>
      </c>
      <c r="BQ69" s="126">
        <v>67</v>
      </c>
      <c r="BR69" s="78" t="s">
        <v>88</v>
      </c>
      <c r="BS69" s="135"/>
    </row>
    <row r="70" spans="1:71" ht="15.75" thickBot="1" x14ac:dyDescent="0.3">
      <c r="A70" s="76"/>
      <c r="B70" s="163"/>
      <c r="C70" s="76"/>
      <c r="D70" s="163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164"/>
      <c r="BJ70" s="164"/>
      <c r="BK70" s="82"/>
      <c r="BL70" s="78">
        <f t="shared" si="8"/>
        <v>100</v>
      </c>
      <c r="BM70" s="78">
        <f t="shared" si="9"/>
        <v>100</v>
      </c>
      <c r="BN70" s="78">
        <f t="shared" si="10"/>
        <v>100</v>
      </c>
      <c r="BO70" s="78">
        <f t="shared" si="11"/>
        <v>100</v>
      </c>
      <c r="BP70" s="78">
        <f t="shared" si="12"/>
        <v>100</v>
      </c>
      <c r="BQ70" s="126">
        <v>68</v>
      </c>
      <c r="BR70" s="78" t="s">
        <v>88</v>
      </c>
      <c r="BS70" s="135"/>
    </row>
    <row r="71" spans="1:71" ht="15.75" thickBot="1" x14ac:dyDescent="0.3">
      <c r="A71" s="76"/>
      <c r="B71" s="163"/>
      <c r="C71" s="76"/>
      <c r="D71" s="163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164"/>
      <c r="BJ71" s="164"/>
      <c r="BK71" s="82"/>
      <c r="BL71" s="78">
        <f t="shared" si="8"/>
        <v>100</v>
      </c>
      <c r="BM71" s="78">
        <f t="shared" si="9"/>
        <v>100</v>
      </c>
      <c r="BN71" s="78">
        <f t="shared" si="10"/>
        <v>100</v>
      </c>
      <c r="BO71" s="78">
        <f t="shared" si="11"/>
        <v>100</v>
      </c>
      <c r="BP71" s="78">
        <f t="shared" si="12"/>
        <v>100</v>
      </c>
      <c r="BQ71" s="126">
        <v>69</v>
      </c>
      <c r="BR71" s="78" t="s">
        <v>88</v>
      </c>
      <c r="BS71" s="135"/>
    </row>
    <row r="72" spans="1:71" ht="15.75" thickBot="1" x14ac:dyDescent="0.3">
      <c r="A72" s="76"/>
      <c r="B72" s="163"/>
      <c r="C72" s="76"/>
      <c r="D72" s="163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164"/>
      <c r="BJ72" s="164"/>
      <c r="BK72" s="82"/>
      <c r="BL72" s="78">
        <f t="shared" si="8"/>
        <v>100</v>
      </c>
      <c r="BM72" s="78">
        <f t="shared" si="9"/>
        <v>100</v>
      </c>
      <c r="BN72" s="78">
        <f t="shared" si="10"/>
        <v>100</v>
      </c>
      <c r="BO72" s="78">
        <f t="shared" si="11"/>
        <v>100</v>
      </c>
      <c r="BP72" s="78">
        <f t="shared" si="12"/>
        <v>100</v>
      </c>
      <c r="BQ72" s="126">
        <v>70</v>
      </c>
      <c r="BR72" s="78" t="s">
        <v>88</v>
      </c>
      <c r="BS72" s="135"/>
    </row>
    <row r="73" spans="1:71" ht="15.75" thickBot="1" x14ac:dyDescent="0.3">
      <c r="A73" s="76"/>
      <c r="B73" s="163"/>
      <c r="C73" s="76"/>
      <c r="D73" s="163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164"/>
      <c r="BJ73" s="164"/>
      <c r="BK73" s="82"/>
      <c r="BL73" s="78">
        <f t="shared" si="8"/>
        <v>100</v>
      </c>
      <c r="BM73" s="78">
        <f t="shared" si="9"/>
        <v>100</v>
      </c>
      <c r="BN73" s="78">
        <f t="shared" si="10"/>
        <v>100</v>
      </c>
      <c r="BO73" s="78">
        <f t="shared" si="11"/>
        <v>100</v>
      </c>
      <c r="BP73" s="78">
        <f t="shared" si="12"/>
        <v>100</v>
      </c>
      <c r="BQ73" s="126">
        <v>71</v>
      </c>
      <c r="BR73" s="78" t="s">
        <v>88</v>
      </c>
      <c r="BS73" s="135"/>
    </row>
    <row r="74" spans="1:71" ht="15.75" thickBot="1" x14ac:dyDescent="0.3">
      <c r="A74" s="76"/>
      <c r="B74" s="163"/>
      <c r="C74" s="76"/>
      <c r="D74" s="163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164"/>
      <c r="BJ74" s="164"/>
      <c r="BK74" s="82"/>
      <c r="BL74" s="78">
        <f t="shared" si="8"/>
        <v>100</v>
      </c>
      <c r="BM74" s="78">
        <f t="shared" si="9"/>
        <v>100</v>
      </c>
      <c r="BN74" s="78">
        <f t="shared" si="10"/>
        <v>100</v>
      </c>
      <c r="BO74" s="78">
        <f t="shared" si="11"/>
        <v>100</v>
      </c>
      <c r="BP74" s="78">
        <f t="shared" si="12"/>
        <v>100</v>
      </c>
      <c r="BQ74" s="126">
        <v>72</v>
      </c>
      <c r="BR74" s="78" t="s">
        <v>88</v>
      </c>
      <c r="BS74" s="135"/>
    </row>
    <row r="75" spans="1:71" ht="15.75" thickBot="1" x14ac:dyDescent="0.3">
      <c r="A75" s="76"/>
      <c r="B75" s="163"/>
      <c r="C75" s="76"/>
      <c r="D75" s="163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164"/>
      <c r="BJ75" s="164"/>
      <c r="BK75" s="82"/>
      <c r="BL75" s="78">
        <f t="shared" si="8"/>
        <v>100</v>
      </c>
      <c r="BM75" s="78">
        <f t="shared" si="9"/>
        <v>100</v>
      </c>
      <c r="BN75" s="78">
        <f t="shared" si="10"/>
        <v>100</v>
      </c>
      <c r="BO75" s="78">
        <f t="shared" si="11"/>
        <v>100</v>
      </c>
      <c r="BP75" s="78">
        <f t="shared" si="12"/>
        <v>100</v>
      </c>
      <c r="BQ75" s="126">
        <v>73</v>
      </c>
      <c r="BR75" s="78" t="s">
        <v>88</v>
      </c>
      <c r="BS75" s="135"/>
    </row>
    <row r="76" spans="1:71" ht="15.75" thickBot="1" x14ac:dyDescent="0.3">
      <c r="A76" s="76"/>
      <c r="B76" s="163"/>
      <c r="C76" s="76"/>
      <c r="D76" s="163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164"/>
      <c r="BJ76" s="164"/>
      <c r="BK76" s="82"/>
      <c r="BL76" s="78">
        <f t="shared" si="8"/>
        <v>100</v>
      </c>
      <c r="BM76" s="78">
        <f t="shared" si="9"/>
        <v>100</v>
      </c>
      <c r="BN76" s="78">
        <f t="shared" si="10"/>
        <v>100</v>
      </c>
      <c r="BO76" s="78">
        <f t="shared" si="11"/>
        <v>100</v>
      </c>
      <c r="BP76" s="78">
        <f t="shared" si="12"/>
        <v>100</v>
      </c>
      <c r="BQ76" s="126">
        <v>74</v>
      </c>
      <c r="BR76" s="78" t="s">
        <v>88</v>
      </c>
      <c r="BS76" s="135"/>
    </row>
    <row r="77" spans="1:71" ht="15.75" thickBot="1" x14ac:dyDescent="0.3">
      <c r="A77" s="76"/>
      <c r="B77" s="163"/>
      <c r="C77" s="76"/>
      <c r="D77" s="163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164"/>
      <c r="BJ77" s="164"/>
      <c r="BK77" s="82"/>
      <c r="BL77" s="78">
        <f t="shared" si="8"/>
        <v>100</v>
      </c>
      <c r="BM77" s="78">
        <f t="shared" si="9"/>
        <v>100</v>
      </c>
      <c r="BN77" s="78">
        <f t="shared" si="10"/>
        <v>100</v>
      </c>
      <c r="BO77" s="78">
        <f t="shared" si="11"/>
        <v>100</v>
      </c>
      <c r="BP77" s="78">
        <f t="shared" si="12"/>
        <v>100</v>
      </c>
      <c r="BQ77" s="126">
        <v>75</v>
      </c>
      <c r="BR77" s="78" t="s">
        <v>88</v>
      </c>
      <c r="BS77" s="135"/>
    </row>
    <row r="78" spans="1:71" ht="15.75" thickBot="1" x14ac:dyDescent="0.3">
      <c r="A78" s="76"/>
      <c r="B78" s="163"/>
      <c r="C78" s="76"/>
      <c r="D78" s="163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164"/>
      <c r="BJ78" s="164"/>
      <c r="BK78" s="82"/>
      <c r="BL78" s="78">
        <f t="shared" si="8"/>
        <v>100</v>
      </c>
      <c r="BM78" s="78">
        <f t="shared" si="9"/>
        <v>100</v>
      </c>
      <c r="BN78" s="78">
        <f t="shared" si="10"/>
        <v>100</v>
      </c>
      <c r="BO78" s="78">
        <f t="shared" si="11"/>
        <v>100</v>
      </c>
      <c r="BP78" s="78">
        <f t="shared" si="12"/>
        <v>100</v>
      </c>
      <c r="BQ78" s="126">
        <v>76</v>
      </c>
      <c r="BR78" s="78" t="s">
        <v>88</v>
      </c>
      <c r="BS78" s="135"/>
    </row>
    <row r="79" spans="1:71" ht="15.75" thickBot="1" x14ac:dyDescent="0.3">
      <c r="A79" s="76"/>
      <c r="B79" s="163"/>
      <c r="C79" s="76"/>
      <c r="D79" s="163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164"/>
      <c r="BJ79" s="164"/>
      <c r="BK79" s="82"/>
      <c r="BL79" s="78">
        <f t="shared" si="8"/>
        <v>100</v>
      </c>
      <c r="BM79" s="78">
        <f t="shared" si="9"/>
        <v>100</v>
      </c>
      <c r="BN79" s="78">
        <f t="shared" si="10"/>
        <v>100</v>
      </c>
      <c r="BO79" s="78">
        <f t="shared" si="11"/>
        <v>100</v>
      </c>
      <c r="BP79" s="78">
        <f t="shared" si="12"/>
        <v>100</v>
      </c>
      <c r="BQ79" s="126">
        <v>77</v>
      </c>
      <c r="BR79" s="78" t="s">
        <v>88</v>
      </c>
      <c r="BS79" s="135"/>
    </row>
    <row r="80" spans="1:71" ht="15.75" thickBot="1" x14ac:dyDescent="0.3">
      <c r="A80" s="76"/>
      <c r="B80" s="163"/>
      <c r="C80" s="76"/>
      <c r="D80" s="163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164"/>
      <c r="BJ80" s="164"/>
      <c r="BK80" s="82"/>
      <c r="BL80" s="78">
        <f t="shared" si="8"/>
        <v>100</v>
      </c>
      <c r="BM80" s="78">
        <f t="shared" si="9"/>
        <v>100</v>
      </c>
      <c r="BN80" s="78">
        <f t="shared" si="10"/>
        <v>100</v>
      </c>
      <c r="BO80" s="78">
        <f t="shared" si="11"/>
        <v>100</v>
      </c>
      <c r="BP80" s="78">
        <f t="shared" si="12"/>
        <v>100</v>
      </c>
      <c r="BQ80" s="126">
        <v>78</v>
      </c>
      <c r="BR80" s="78" t="s">
        <v>88</v>
      </c>
      <c r="BS80" s="135"/>
    </row>
    <row r="81" spans="1:71" ht="15.75" thickBot="1" x14ac:dyDescent="0.3">
      <c r="A81" s="76"/>
      <c r="B81" s="163"/>
      <c r="C81" s="76"/>
      <c r="D81" s="163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  <c r="BF81" s="76"/>
      <c r="BG81" s="76"/>
      <c r="BH81" s="76"/>
      <c r="BI81" s="164"/>
      <c r="BJ81" s="164"/>
      <c r="BK81" s="82"/>
      <c r="BL81" s="78">
        <f t="shared" si="8"/>
        <v>100</v>
      </c>
      <c r="BM81" s="78">
        <f t="shared" si="9"/>
        <v>100</v>
      </c>
      <c r="BN81" s="78">
        <f t="shared" si="10"/>
        <v>100</v>
      </c>
      <c r="BO81" s="78">
        <f t="shared" si="11"/>
        <v>100</v>
      </c>
      <c r="BP81" s="78">
        <f t="shared" si="12"/>
        <v>100</v>
      </c>
      <c r="BQ81" s="126">
        <v>79</v>
      </c>
      <c r="BR81" s="78" t="s">
        <v>88</v>
      </c>
      <c r="BS81" s="135"/>
    </row>
    <row r="82" spans="1:71" ht="15.75" thickBot="1" x14ac:dyDescent="0.3">
      <c r="A82" s="76"/>
      <c r="B82" s="163"/>
      <c r="C82" s="76"/>
      <c r="D82" s="163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164"/>
      <c r="BJ82" s="164"/>
      <c r="BK82" s="82"/>
      <c r="BL82" s="78">
        <f t="shared" si="8"/>
        <v>100</v>
      </c>
      <c r="BM82" s="78">
        <f t="shared" si="9"/>
        <v>100</v>
      </c>
      <c r="BN82" s="78">
        <f t="shared" si="10"/>
        <v>100</v>
      </c>
      <c r="BO82" s="78">
        <f t="shared" si="11"/>
        <v>100</v>
      </c>
      <c r="BP82" s="78">
        <f t="shared" si="12"/>
        <v>100</v>
      </c>
      <c r="BQ82" s="126">
        <v>80</v>
      </c>
      <c r="BR82" s="78" t="s">
        <v>88</v>
      </c>
      <c r="BS82" s="135"/>
    </row>
    <row r="83" spans="1:71" ht="15.75" thickBot="1" x14ac:dyDescent="0.3">
      <c r="A83" s="76"/>
      <c r="B83" s="163"/>
      <c r="C83" s="76"/>
      <c r="D83" s="163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  <c r="BF83" s="76"/>
      <c r="BG83" s="76"/>
      <c r="BH83" s="76"/>
      <c r="BI83" s="164"/>
      <c r="BJ83" s="164"/>
      <c r="BK83" s="82"/>
      <c r="BL83" s="78">
        <f t="shared" ref="BL83:BL102" si="13">(IF(K83="NO",0,$K$1)+IF(L83="NO",0,$L$1)+IF(M83="NO",0,$M$1)+IF(N83="NO",0,$N$1)+IF(O83="NO",0,$O$1)+IF(P83="NO",0,$P$1)+IF(R83="NO",0,$R$1)+IF(S83="NO",0,$S$1)+IF(T83="NO",0,$T$1)+IF(U83="NO",0,$U$1)+IF(V83="NO",0,$V$1)+IF(W83="NO",0,$W$1)+IF(X83="NO",0,$X$1)+IF(Y83="NO",0,$Y$1)+IF(Z83="NO",0,$Z$1))+15</f>
        <v>100</v>
      </c>
      <c r="BM83" s="78">
        <f t="shared" ref="BM83:BM102" si="14">IF(AA83="NO",0,$AA$1)+IF(AB83="NO",0,$AB$1)+IF(AC83="NO",0,$AC$1)+IF(AD83="NO",0,$AD$1)+IF(AE83="NO",0,$AE$1)+IF(AF83="NO",0,$AF$1)+IF(AG83="NO",0,$AG$1)+IF(AH83="NO",0,$AH$1)+IF(AI83="NO",0,$AI$1)+IF(AJ83="NO",0,$AJ$1)+IF(AK83="NO",0,$AK$1)+IF(AL83="NO",0,$AL$1)+IF(AM83="NO",0,$AM$1)+IF(AN83="NO",0,$AN$1)+IF(AO83="NO",0,$AO$1)+IF(AP83="NO",0,$AP$1)</f>
        <v>100</v>
      </c>
      <c r="BN83" s="78">
        <f t="shared" ref="BN83:BN102" si="15">IF(AQ83="NO",0,$AQ$1)+IF(AR83="NO",0,$AR$1)+IF(AS83="NO",0,$AS$1)+IF(AT83="NO",0,$AT$1)+IF(AU83="NO",0,$AU$1)+IF(AV83="NO",0,$AV$1)+IF(AW83="NO",0,$AW$1)+IF(AX83="NO",0,$AX$1)+IF(AY83="NO",0,$AY$1)+IF(AZ83="NO",0,$AZ$1)+IF(BA83="NO",0,$BA$1)</f>
        <v>100</v>
      </c>
      <c r="BO83" s="78">
        <f t="shared" ref="BO83:BO102" si="16">IF(BB83="NO",0,$BB$1)+IF(BC83="NO",0,$BC$1)+IF(BD83="NO",0,$BD$1)+IF(BE83="NO",0,$BE$1)+IF(BF83="NO",0,$BF$1)+IF(BG83="NO",0,$BG$1)</f>
        <v>100</v>
      </c>
      <c r="BP83" s="78">
        <f t="shared" ref="BP83:BP102" si="17">IF(BH83="NO",0,$BH$1)</f>
        <v>100</v>
      </c>
      <c r="BQ83" s="126">
        <v>81</v>
      </c>
      <c r="BR83" s="78" t="s">
        <v>88</v>
      </c>
    </row>
    <row r="84" spans="1:71" ht="15.75" thickBot="1" x14ac:dyDescent="0.3">
      <c r="A84" s="76"/>
      <c r="B84" s="163"/>
      <c r="C84" s="76"/>
      <c r="D84" s="163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  <c r="BF84" s="76"/>
      <c r="BG84" s="76"/>
      <c r="BH84" s="76"/>
      <c r="BI84" s="164"/>
      <c r="BJ84" s="164"/>
      <c r="BK84" s="82"/>
      <c r="BL84" s="78">
        <f t="shared" si="13"/>
        <v>100</v>
      </c>
      <c r="BM84" s="78">
        <f t="shared" si="14"/>
        <v>100</v>
      </c>
      <c r="BN84" s="78">
        <f t="shared" si="15"/>
        <v>100</v>
      </c>
      <c r="BO84" s="78">
        <f t="shared" si="16"/>
        <v>100</v>
      </c>
      <c r="BP84" s="78">
        <f t="shared" si="17"/>
        <v>100</v>
      </c>
      <c r="BQ84" s="126">
        <v>82</v>
      </c>
      <c r="BR84" s="78" t="s">
        <v>88</v>
      </c>
    </row>
    <row r="85" spans="1:71" ht="15.75" thickBot="1" x14ac:dyDescent="0.3">
      <c r="A85" s="76"/>
      <c r="B85" s="163"/>
      <c r="C85" s="76"/>
      <c r="D85" s="163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164"/>
      <c r="BJ85" s="164"/>
      <c r="BK85" s="82"/>
      <c r="BL85" s="78">
        <f t="shared" si="13"/>
        <v>100</v>
      </c>
      <c r="BM85" s="78">
        <f t="shared" si="14"/>
        <v>100</v>
      </c>
      <c r="BN85" s="78">
        <f t="shared" si="15"/>
        <v>100</v>
      </c>
      <c r="BO85" s="78">
        <f t="shared" si="16"/>
        <v>100</v>
      </c>
      <c r="BP85" s="78">
        <f t="shared" si="17"/>
        <v>100</v>
      </c>
      <c r="BQ85" s="126">
        <v>83</v>
      </c>
      <c r="BR85" s="78" t="s">
        <v>88</v>
      </c>
    </row>
    <row r="86" spans="1:71" ht="15.75" thickBot="1" x14ac:dyDescent="0.3">
      <c r="A86" s="76"/>
      <c r="B86" s="163"/>
      <c r="C86" s="76"/>
      <c r="D86" s="163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164"/>
      <c r="BJ86" s="164"/>
      <c r="BK86" s="82"/>
      <c r="BL86" s="78">
        <f t="shared" si="13"/>
        <v>100</v>
      </c>
      <c r="BM86" s="78">
        <f t="shared" si="14"/>
        <v>100</v>
      </c>
      <c r="BN86" s="78">
        <f t="shared" si="15"/>
        <v>100</v>
      </c>
      <c r="BO86" s="78">
        <f t="shared" si="16"/>
        <v>100</v>
      </c>
      <c r="BP86" s="78">
        <f t="shared" si="17"/>
        <v>100</v>
      </c>
      <c r="BQ86" s="126">
        <v>84</v>
      </c>
      <c r="BR86" s="78" t="s">
        <v>88</v>
      </c>
    </row>
    <row r="87" spans="1:71" ht="15.75" thickBot="1" x14ac:dyDescent="0.3">
      <c r="A87" s="76"/>
      <c r="B87" s="163"/>
      <c r="C87" s="76"/>
      <c r="D87" s="163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  <c r="BF87" s="76"/>
      <c r="BG87" s="76"/>
      <c r="BH87" s="76"/>
      <c r="BI87" s="164"/>
      <c r="BJ87" s="164"/>
      <c r="BK87" s="82"/>
      <c r="BL87" s="78">
        <f t="shared" si="13"/>
        <v>100</v>
      </c>
      <c r="BM87" s="78">
        <f t="shared" si="14"/>
        <v>100</v>
      </c>
      <c r="BN87" s="78">
        <f t="shared" si="15"/>
        <v>100</v>
      </c>
      <c r="BO87" s="78">
        <f t="shared" si="16"/>
        <v>100</v>
      </c>
      <c r="BP87" s="78">
        <f t="shared" si="17"/>
        <v>100</v>
      </c>
      <c r="BQ87" s="126">
        <v>85</v>
      </c>
      <c r="BR87" s="78" t="s">
        <v>88</v>
      </c>
    </row>
    <row r="88" spans="1:71" ht="15.75" thickBot="1" x14ac:dyDescent="0.3">
      <c r="A88" s="76"/>
      <c r="B88" s="163"/>
      <c r="C88" s="76"/>
      <c r="D88" s="163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  <c r="BF88" s="76"/>
      <c r="BG88" s="76"/>
      <c r="BH88" s="76"/>
      <c r="BI88" s="164"/>
      <c r="BJ88" s="164"/>
      <c r="BK88" s="82"/>
      <c r="BL88" s="78">
        <f t="shared" si="13"/>
        <v>100</v>
      </c>
      <c r="BM88" s="78">
        <f t="shared" si="14"/>
        <v>100</v>
      </c>
      <c r="BN88" s="78">
        <f t="shared" si="15"/>
        <v>100</v>
      </c>
      <c r="BO88" s="78">
        <f t="shared" si="16"/>
        <v>100</v>
      </c>
      <c r="BP88" s="78">
        <f t="shared" si="17"/>
        <v>100</v>
      </c>
      <c r="BQ88" s="126">
        <v>86</v>
      </c>
      <c r="BR88" s="78" t="s">
        <v>88</v>
      </c>
    </row>
    <row r="89" spans="1:71" ht="15.75" thickBot="1" x14ac:dyDescent="0.3">
      <c r="A89" s="76"/>
      <c r="B89" s="163"/>
      <c r="C89" s="76"/>
      <c r="D89" s="163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164"/>
      <c r="BJ89" s="164"/>
      <c r="BK89" s="82"/>
      <c r="BL89" s="78">
        <f t="shared" si="13"/>
        <v>100</v>
      </c>
      <c r="BM89" s="78">
        <f t="shared" si="14"/>
        <v>100</v>
      </c>
      <c r="BN89" s="78">
        <f t="shared" si="15"/>
        <v>100</v>
      </c>
      <c r="BO89" s="78">
        <f t="shared" si="16"/>
        <v>100</v>
      </c>
      <c r="BP89" s="78">
        <f t="shared" si="17"/>
        <v>100</v>
      </c>
      <c r="BQ89" s="126">
        <v>87</v>
      </c>
      <c r="BR89" s="78" t="s">
        <v>88</v>
      </c>
    </row>
    <row r="90" spans="1:71" ht="15.75" thickBot="1" x14ac:dyDescent="0.3">
      <c r="A90" s="76"/>
      <c r="B90" s="163"/>
      <c r="C90" s="76"/>
      <c r="D90" s="163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164"/>
      <c r="BJ90" s="164"/>
      <c r="BK90" s="82"/>
      <c r="BL90" s="78">
        <f t="shared" si="13"/>
        <v>100</v>
      </c>
      <c r="BM90" s="78">
        <f t="shared" si="14"/>
        <v>100</v>
      </c>
      <c r="BN90" s="78">
        <f t="shared" si="15"/>
        <v>100</v>
      </c>
      <c r="BO90" s="78">
        <f t="shared" si="16"/>
        <v>100</v>
      </c>
      <c r="BP90" s="78">
        <f t="shared" si="17"/>
        <v>100</v>
      </c>
      <c r="BQ90" s="126">
        <v>88</v>
      </c>
      <c r="BR90" s="78" t="s">
        <v>88</v>
      </c>
    </row>
    <row r="91" spans="1:71" ht="15.75" thickBot="1" x14ac:dyDescent="0.3">
      <c r="A91" s="76"/>
      <c r="B91" s="163"/>
      <c r="C91" s="76"/>
      <c r="D91" s="163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  <c r="BF91" s="76"/>
      <c r="BG91" s="76"/>
      <c r="BH91" s="76"/>
      <c r="BI91" s="164"/>
      <c r="BJ91" s="164"/>
      <c r="BK91" s="82"/>
      <c r="BL91" s="78">
        <f t="shared" si="13"/>
        <v>100</v>
      </c>
      <c r="BM91" s="78">
        <f t="shared" si="14"/>
        <v>100</v>
      </c>
      <c r="BN91" s="78">
        <f t="shared" si="15"/>
        <v>100</v>
      </c>
      <c r="BO91" s="78">
        <f t="shared" si="16"/>
        <v>100</v>
      </c>
      <c r="BP91" s="78">
        <f t="shared" si="17"/>
        <v>100</v>
      </c>
      <c r="BQ91" s="126">
        <v>89</v>
      </c>
      <c r="BR91" s="78" t="s">
        <v>88</v>
      </c>
    </row>
    <row r="92" spans="1:71" ht="15.75" thickBot="1" x14ac:dyDescent="0.3">
      <c r="A92" s="76"/>
      <c r="B92" s="163"/>
      <c r="C92" s="76"/>
      <c r="D92" s="163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164"/>
      <c r="BJ92" s="164"/>
      <c r="BK92" s="82"/>
      <c r="BL92" s="78">
        <f t="shared" si="13"/>
        <v>100</v>
      </c>
      <c r="BM92" s="78">
        <f t="shared" si="14"/>
        <v>100</v>
      </c>
      <c r="BN92" s="78">
        <f t="shared" si="15"/>
        <v>100</v>
      </c>
      <c r="BO92" s="78">
        <f t="shared" si="16"/>
        <v>100</v>
      </c>
      <c r="BP92" s="78">
        <f t="shared" si="17"/>
        <v>100</v>
      </c>
      <c r="BQ92" s="126">
        <v>90</v>
      </c>
      <c r="BR92" s="78" t="s">
        <v>88</v>
      </c>
    </row>
    <row r="93" spans="1:71" ht="15.75" thickBot="1" x14ac:dyDescent="0.3">
      <c r="A93" s="76"/>
      <c r="B93" s="163"/>
      <c r="C93" s="76"/>
      <c r="D93" s="163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164"/>
      <c r="BJ93" s="164"/>
      <c r="BK93" s="82"/>
      <c r="BL93" s="78">
        <f t="shared" si="13"/>
        <v>100</v>
      </c>
      <c r="BM93" s="78">
        <f t="shared" si="14"/>
        <v>100</v>
      </c>
      <c r="BN93" s="78">
        <f t="shared" si="15"/>
        <v>100</v>
      </c>
      <c r="BO93" s="78">
        <f t="shared" si="16"/>
        <v>100</v>
      </c>
      <c r="BP93" s="78">
        <f t="shared" si="17"/>
        <v>100</v>
      </c>
      <c r="BQ93" s="126">
        <v>91</v>
      </c>
      <c r="BR93" s="78" t="s">
        <v>88</v>
      </c>
    </row>
    <row r="94" spans="1:71" ht="15.75" thickBot="1" x14ac:dyDescent="0.3">
      <c r="A94" s="76"/>
      <c r="B94" s="163"/>
      <c r="C94" s="76"/>
      <c r="D94" s="163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164"/>
      <c r="BJ94" s="164"/>
      <c r="BK94" s="82"/>
      <c r="BL94" s="78">
        <f t="shared" si="13"/>
        <v>100</v>
      </c>
      <c r="BM94" s="78">
        <f t="shared" si="14"/>
        <v>100</v>
      </c>
      <c r="BN94" s="78">
        <f t="shared" si="15"/>
        <v>100</v>
      </c>
      <c r="BO94" s="78">
        <f t="shared" si="16"/>
        <v>100</v>
      </c>
      <c r="BP94" s="78">
        <f t="shared" si="17"/>
        <v>100</v>
      </c>
      <c r="BQ94" s="126">
        <v>92</v>
      </c>
      <c r="BR94" s="78" t="s">
        <v>88</v>
      </c>
    </row>
    <row r="95" spans="1:71" ht="15.75" thickBot="1" x14ac:dyDescent="0.3">
      <c r="A95" s="76"/>
      <c r="B95" s="163"/>
      <c r="C95" s="76"/>
      <c r="D95" s="163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164"/>
      <c r="BJ95" s="164"/>
      <c r="BK95" s="82"/>
      <c r="BL95" s="78">
        <f t="shared" si="13"/>
        <v>100</v>
      </c>
      <c r="BM95" s="78">
        <f t="shared" si="14"/>
        <v>100</v>
      </c>
      <c r="BN95" s="78">
        <f t="shared" si="15"/>
        <v>100</v>
      </c>
      <c r="BO95" s="78">
        <f t="shared" si="16"/>
        <v>100</v>
      </c>
      <c r="BP95" s="78">
        <f t="shared" si="17"/>
        <v>100</v>
      </c>
      <c r="BQ95" s="126">
        <v>93</v>
      </c>
      <c r="BR95" s="78" t="s">
        <v>88</v>
      </c>
    </row>
    <row r="96" spans="1:71" ht="15.75" thickBot="1" x14ac:dyDescent="0.3">
      <c r="A96" s="76"/>
      <c r="B96" s="163"/>
      <c r="C96" s="76"/>
      <c r="D96" s="163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164"/>
      <c r="BJ96" s="164"/>
      <c r="BK96" s="82"/>
      <c r="BL96" s="78">
        <f t="shared" si="13"/>
        <v>100</v>
      </c>
      <c r="BM96" s="78">
        <f t="shared" si="14"/>
        <v>100</v>
      </c>
      <c r="BN96" s="78">
        <f t="shared" si="15"/>
        <v>100</v>
      </c>
      <c r="BO96" s="78">
        <f t="shared" si="16"/>
        <v>100</v>
      </c>
      <c r="BP96" s="78">
        <f t="shared" si="17"/>
        <v>100</v>
      </c>
      <c r="BQ96" s="126">
        <v>94</v>
      </c>
      <c r="BR96" s="78" t="s">
        <v>88</v>
      </c>
    </row>
    <row r="97" spans="1:70" ht="15.75" thickBot="1" x14ac:dyDescent="0.3">
      <c r="A97" s="76"/>
      <c r="B97" s="163"/>
      <c r="C97" s="76"/>
      <c r="D97" s="163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  <c r="BF97" s="76"/>
      <c r="BG97" s="76"/>
      <c r="BH97" s="76"/>
      <c r="BI97" s="164"/>
      <c r="BJ97" s="164"/>
      <c r="BK97" s="82"/>
      <c r="BL97" s="78">
        <f t="shared" si="13"/>
        <v>100</v>
      </c>
      <c r="BM97" s="78">
        <f t="shared" si="14"/>
        <v>100</v>
      </c>
      <c r="BN97" s="78">
        <f t="shared" si="15"/>
        <v>100</v>
      </c>
      <c r="BO97" s="78">
        <f t="shared" si="16"/>
        <v>100</v>
      </c>
      <c r="BP97" s="78">
        <f t="shared" si="17"/>
        <v>100</v>
      </c>
      <c r="BQ97" s="126">
        <v>95</v>
      </c>
      <c r="BR97" s="78" t="s">
        <v>88</v>
      </c>
    </row>
    <row r="98" spans="1:70" ht="15.75" thickBot="1" x14ac:dyDescent="0.3">
      <c r="A98" s="76"/>
      <c r="B98" s="163"/>
      <c r="C98" s="76"/>
      <c r="D98" s="163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164"/>
      <c r="BJ98" s="164"/>
      <c r="BK98" s="82"/>
      <c r="BL98" s="78">
        <f t="shared" si="13"/>
        <v>100</v>
      </c>
      <c r="BM98" s="78">
        <f t="shared" si="14"/>
        <v>100</v>
      </c>
      <c r="BN98" s="78">
        <f t="shared" si="15"/>
        <v>100</v>
      </c>
      <c r="BO98" s="78">
        <f t="shared" si="16"/>
        <v>100</v>
      </c>
      <c r="BP98" s="78">
        <f t="shared" si="17"/>
        <v>100</v>
      </c>
      <c r="BQ98" s="126">
        <v>96</v>
      </c>
      <c r="BR98" s="78" t="s">
        <v>88</v>
      </c>
    </row>
    <row r="99" spans="1:70" ht="15.75" thickBot="1" x14ac:dyDescent="0.3">
      <c r="A99" s="76"/>
      <c r="B99" s="163"/>
      <c r="C99" s="76"/>
      <c r="D99" s="163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164"/>
      <c r="BJ99" s="164"/>
      <c r="BK99" s="82"/>
      <c r="BL99" s="78">
        <f t="shared" si="13"/>
        <v>100</v>
      </c>
      <c r="BM99" s="78">
        <f t="shared" si="14"/>
        <v>100</v>
      </c>
      <c r="BN99" s="78">
        <f t="shared" si="15"/>
        <v>100</v>
      </c>
      <c r="BO99" s="78">
        <f t="shared" si="16"/>
        <v>100</v>
      </c>
      <c r="BP99" s="78">
        <f t="shared" si="17"/>
        <v>100</v>
      </c>
      <c r="BQ99" s="126">
        <v>97</v>
      </c>
      <c r="BR99" s="78" t="s">
        <v>88</v>
      </c>
    </row>
    <row r="100" spans="1:70" ht="15.75" thickBot="1" x14ac:dyDescent="0.3">
      <c r="A100" s="76"/>
      <c r="B100" s="163"/>
      <c r="C100" s="76"/>
      <c r="D100" s="163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164"/>
      <c r="BJ100" s="164"/>
      <c r="BK100" s="82"/>
      <c r="BL100" s="78">
        <f t="shared" si="13"/>
        <v>100</v>
      </c>
      <c r="BM100" s="78">
        <f t="shared" si="14"/>
        <v>100</v>
      </c>
      <c r="BN100" s="78">
        <f t="shared" si="15"/>
        <v>100</v>
      </c>
      <c r="BO100" s="78">
        <f t="shared" si="16"/>
        <v>100</v>
      </c>
      <c r="BP100" s="78">
        <f t="shared" si="17"/>
        <v>100</v>
      </c>
      <c r="BQ100" s="126">
        <v>98</v>
      </c>
      <c r="BR100" s="78" t="s">
        <v>88</v>
      </c>
    </row>
    <row r="101" spans="1:70" ht="15.75" thickBot="1" x14ac:dyDescent="0.3">
      <c r="A101" s="76"/>
      <c r="B101" s="163"/>
      <c r="C101" s="76"/>
      <c r="D101" s="163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164"/>
      <c r="BJ101" s="164"/>
      <c r="BK101" s="82"/>
      <c r="BL101" s="78">
        <f t="shared" si="13"/>
        <v>100</v>
      </c>
      <c r="BM101" s="78">
        <f t="shared" si="14"/>
        <v>100</v>
      </c>
      <c r="BN101" s="78">
        <f t="shared" si="15"/>
        <v>100</v>
      </c>
      <c r="BO101" s="78">
        <f t="shared" si="16"/>
        <v>100</v>
      </c>
      <c r="BP101" s="78">
        <f t="shared" si="17"/>
        <v>100</v>
      </c>
      <c r="BQ101" s="126">
        <v>99</v>
      </c>
      <c r="BR101" s="78" t="s">
        <v>88</v>
      </c>
    </row>
    <row r="102" spans="1:70" ht="15.75" thickBot="1" x14ac:dyDescent="0.3">
      <c r="A102" s="76"/>
      <c r="B102" s="163"/>
      <c r="C102" s="76"/>
      <c r="D102" s="163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164"/>
      <c r="BJ102" s="164"/>
      <c r="BK102" s="82"/>
      <c r="BL102" s="78">
        <f t="shared" si="13"/>
        <v>100</v>
      </c>
      <c r="BM102" s="78">
        <f t="shared" si="14"/>
        <v>100</v>
      </c>
      <c r="BN102" s="78">
        <f t="shared" si="15"/>
        <v>100</v>
      </c>
      <c r="BO102" s="78">
        <f t="shared" si="16"/>
        <v>100</v>
      </c>
      <c r="BP102" s="78">
        <f t="shared" si="17"/>
        <v>100</v>
      </c>
      <c r="BQ102" s="126">
        <v>100</v>
      </c>
      <c r="BR102" s="78" t="s">
        <v>88</v>
      </c>
    </row>
  </sheetData>
  <conditionalFormatting sqref="K3:BI3 K5:BI102">
    <cfRule type="containsBlanks" dxfId="78" priority="119">
      <formula>LEN(TRIM(K3))=0</formula>
    </cfRule>
    <cfRule type="containsText" dxfId="77" priority="120" operator="containsText" text="NO">
      <formula>NOT(ISERROR(SEARCH("NO",K3)))</formula>
    </cfRule>
  </conditionalFormatting>
  <conditionalFormatting sqref="K3:BI3 K5:BI102">
    <cfRule type="containsBlanks" dxfId="76" priority="117">
      <formula>LEN(TRIM(K3))=0</formula>
    </cfRule>
    <cfRule type="containsText" dxfId="75" priority="118" operator="containsText" text="NO">
      <formula>NOT(ISERROR(SEARCH("NO",K3)))</formula>
    </cfRule>
  </conditionalFormatting>
  <conditionalFormatting sqref="K3:BI3 K5:BI102">
    <cfRule type="containsBlanks" dxfId="74" priority="115">
      <formula>LEN(TRIM(K3))=0</formula>
    </cfRule>
    <cfRule type="containsText" dxfId="73" priority="116" operator="containsText" text="NO">
      <formula>NOT(ISERROR(SEARCH("NO",K3)))</formula>
    </cfRule>
  </conditionalFormatting>
  <conditionalFormatting sqref="BJ3:BK3">
    <cfRule type="containsBlanks" dxfId="72" priority="111">
      <formula>LEN(TRIM(BJ3))=0</formula>
    </cfRule>
  </conditionalFormatting>
  <conditionalFormatting sqref="BJ5:BK102">
    <cfRule type="containsBlanks" dxfId="71" priority="110">
      <formula>LEN(TRIM(BJ5))=0</formula>
    </cfRule>
  </conditionalFormatting>
  <conditionalFormatting sqref="J1:J2 J5:J1048576">
    <cfRule type="duplicateValues" dxfId="70" priority="77"/>
    <cfRule type="duplicateValues" dxfId="69" priority="78"/>
    <cfRule type="duplicateValues" dxfId="68" priority="79"/>
    <cfRule type="duplicateValues" dxfId="67" priority="80"/>
  </conditionalFormatting>
  <conditionalFormatting sqref="A1:A2">
    <cfRule type="duplicateValues" dxfId="66" priority="125"/>
    <cfRule type="duplicateValues" dxfId="65" priority="126"/>
    <cfRule type="duplicateValues" dxfId="64" priority="127"/>
    <cfRule type="duplicateValues" dxfId="63" priority="128"/>
  </conditionalFormatting>
  <conditionalFormatting sqref="A68:A102">
    <cfRule type="duplicateValues" dxfId="62" priority="60"/>
    <cfRule type="duplicateValues" dxfId="61" priority="61"/>
    <cfRule type="duplicateValues" dxfId="60" priority="62"/>
    <cfRule type="duplicateValues" dxfId="59" priority="63"/>
  </conditionalFormatting>
  <conditionalFormatting sqref="A63:A67">
    <cfRule type="duplicateValues" dxfId="58" priority="48"/>
    <cfRule type="duplicateValues" dxfId="57" priority="49"/>
    <cfRule type="duplicateValues" dxfId="56" priority="50"/>
    <cfRule type="duplicateValues" dxfId="55" priority="51"/>
  </conditionalFormatting>
  <conditionalFormatting sqref="A14:A62">
    <cfRule type="duplicateValues" dxfId="54" priority="44"/>
    <cfRule type="duplicateValues" dxfId="53" priority="45"/>
    <cfRule type="duplicateValues" dxfId="52" priority="46"/>
    <cfRule type="duplicateValues" dxfId="51" priority="47"/>
  </conditionalFormatting>
  <conditionalFormatting sqref="A5:A13">
    <cfRule type="duplicateValues" dxfId="50" priority="40"/>
    <cfRule type="duplicateValues" dxfId="49" priority="41"/>
    <cfRule type="duplicateValues" dxfId="48" priority="42"/>
    <cfRule type="duplicateValues" dxfId="47" priority="43"/>
  </conditionalFormatting>
  <conditionalFormatting sqref="K4:BI4">
    <cfRule type="containsBlanks" dxfId="42" priority="30">
      <formula>LEN(TRIM(K4))=0</formula>
    </cfRule>
    <cfRule type="containsText" dxfId="41" priority="31" operator="containsText" text="NO">
      <formula>NOT(ISERROR(SEARCH("NO",K4)))</formula>
    </cfRule>
  </conditionalFormatting>
  <conditionalFormatting sqref="K4:BI4">
    <cfRule type="containsBlanks" dxfId="40" priority="28">
      <formula>LEN(TRIM(K4))=0</formula>
    </cfRule>
    <cfRule type="containsText" dxfId="39" priority="29" operator="containsText" text="NO">
      <formula>NOT(ISERROR(SEARCH("NO",K4)))</formula>
    </cfRule>
  </conditionalFormatting>
  <conditionalFormatting sqref="K4:BI4">
    <cfRule type="containsBlanks" dxfId="38" priority="26">
      <formula>LEN(TRIM(K4))=0</formula>
    </cfRule>
    <cfRule type="containsText" dxfId="37" priority="27" operator="containsText" text="NO">
      <formula>NOT(ISERROR(SEARCH("NO",K4)))</formula>
    </cfRule>
  </conditionalFormatting>
  <conditionalFormatting sqref="BJ4:BK4">
    <cfRule type="containsBlanks" dxfId="36" priority="25">
      <formula>LEN(TRIM(BJ4))=0</formula>
    </cfRule>
  </conditionalFormatting>
  <conditionalFormatting sqref="J4">
    <cfRule type="duplicateValues" dxfId="35" priority="21"/>
    <cfRule type="duplicateValues" dxfId="34" priority="22"/>
    <cfRule type="duplicateValues" dxfId="33" priority="23"/>
    <cfRule type="duplicateValues" dxfId="32" priority="24"/>
  </conditionalFormatting>
  <conditionalFormatting sqref="A4">
    <cfRule type="duplicateValues" dxfId="31" priority="17"/>
    <cfRule type="duplicateValues" dxfId="30" priority="18"/>
    <cfRule type="duplicateValues" dxfId="29" priority="19"/>
    <cfRule type="duplicateValues" dxfId="28" priority="20"/>
  </conditionalFormatting>
  <conditionalFormatting sqref="I3">
    <cfRule type="duplicateValues" dxfId="27" priority="13"/>
    <cfRule type="duplicateValues" dxfId="26" priority="14"/>
    <cfRule type="duplicateValues" dxfId="25" priority="15"/>
    <cfRule type="duplicateValues" dxfId="24" priority="16"/>
  </conditionalFormatting>
  <conditionalFormatting sqref="J3">
    <cfRule type="duplicateValues" dxfId="23" priority="9"/>
    <cfRule type="duplicateValues" dxfId="22" priority="10"/>
    <cfRule type="duplicateValues" dxfId="21" priority="11"/>
    <cfRule type="duplicateValues" dxfId="20" priority="12"/>
  </conditionalFormatting>
  <conditionalFormatting sqref="H3">
    <cfRule type="duplicateValues" dxfId="19" priority="5"/>
    <cfRule type="duplicateValues" dxfId="18" priority="6"/>
    <cfRule type="duplicateValues" dxfId="17" priority="7"/>
    <cfRule type="duplicateValues" dxfId="16" priority="8"/>
  </conditionalFormatting>
  <conditionalFormatting sqref="A3">
    <cfRule type="duplicateValues" dxfId="3" priority="1"/>
    <cfRule type="duplicateValues" dxfId="2" priority="2"/>
    <cfRule type="duplicateValues" dxfId="1" priority="3"/>
    <cfRule type="duplicateValues" dxfId="0" priority="4"/>
  </conditionalFormatting>
  <hyperlinks>
    <hyperlink ref="BI3" r:id="rId1" xr:uid="{3096BAF5-FBE3-4E45-9CEA-76D378D95F1E}"/>
    <hyperlink ref="BJ3" r:id="rId2" xr:uid="{838FC3C5-6ACD-4ACD-AA79-A7F3EDCD2711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FF0000"/>
  </sheetPr>
  <dimension ref="A1:M191"/>
  <sheetViews>
    <sheetView showGridLines="0" view="pageBreakPreview" zoomScale="85" zoomScaleNormal="100" zoomScaleSheetLayoutView="85" workbookViewId="0">
      <selection activeCell="H6" sqref="H6"/>
    </sheetView>
  </sheetViews>
  <sheetFormatPr baseColWidth="10" defaultColWidth="11.42578125" defaultRowHeight="15" x14ac:dyDescent="0.25"/>
  <cols>
    <col min="1" max="1" width="14.85546875" customWidth="1"/>
    <col min="2" max="2" width="17.7109375" customWidth="1"/>
    <col min="4" max="4" width="14" bestFit="1" customWidth="1"/>
    <col min="7" max="7" width="10.140625" customWidth="1"/>
    <col min="8" max="8" width="11.5703125" style="72" customWidth="1"/>
    <col min="9" max="9" width="11.7109375" style="72" customWidth="1"/>
    <col min="10" max="10" width="17.7109375" style="72" customWidth="1"/>
  </cols>
  <sheetData>
    <row r="1" spans="1:13" ht="26.25" customHeight="1" x14ac:dyDescent="0.5">
      <c r="I1" s="213"/>
      <c r="J1" s="213"/>
      <c r="K1" s="213"/>
    </row>
    <row r="2" spans="1:13" ht="19.5" x14ac:dyDescent="0.3">
      <c r="A2" s="2"/>
      <c r="C2" s="1" t="s">
        <v>0</v>
      </c>
      <c r="D2" s="2"/>
      <c r="E2" s="2"/>
      <c r="F2" s="2"/>
      <c r="G2" s="3"/>
      <c r="H2" s="99"/>
      <c r="I2" s="99"/>
      <c r="J2" s="99"/>
      <c r="K2" s="2"/>
      <c r="L2" s="2"/>
      <c r="M2" s="2"/>
    </row>
    <row r="3" spans="1:13" ht="19.5" x14ac:dyDescent="0.25">
      <c r="A3" s="4" t="s">
        <v>1</v>
      </c>
      <c r="B3" s="214" t="e">
        <f>VLOOKUP($B$6,ADSL!$A:$CG,5,0)</f>
        <v>#N/A</v>
      </c>
      <c r="C3" s="215"/>
      <c r="D3" s="5"/>
      <c r="E3" s="5"/>
      <c r="F3" s="5"/>
      <c r="G3" s="6" t="s">
        <v>2</v>
      </c>
      <c r="H3" s="216" t="e">
        <f>VLOOKUP($B$6,ADSL!$A:$CG,2,0)</f>
        <v>#N/A</v>
      </c>
      <c r="I3" s="217"/>
      <c r="J3" s="99"/>
    </row>
    <row r="4" spans="1:13" ht="19.5" x14ac:dyDescent="0.25">
      <c r="A4" s="4" t="s">
        <v>3</v>
      </c>
      <c r="B4" s="214" t="s">
        <v>42</v>
      </c>
      <c r="C4" s="215"/>
      <c r="D4" s="5"/>
      <c r="E4" s="5"/>
      <c r="F4" s="5"/>
      <c r="G4" s="4"/>
      <c r="H4" s="156"/>
      <c r="I4" s="156"/>
      <c r="J4" s="99"/>
    </row>
    <row r="5" spans="1:13" x14ac:dyDescent="0.25">
      <c r="A5" s="7" t="s">
        <v>4</v>
      </c>
      <c r="B5" s="214" t="e">
        <f>VLOOKUP($B$6,ADSL!$A:$CG,6,0)</f>
        <v>#N/A</v>
      </c>
      <c r="C5" s="215"/>
      <c r="F5" s="5"/>
    </row>
    <row r="6" spans="1:13" ht="42" customHeight="1" x14ac:dyDescent="0.25">
      <c r="A6" s="7" t="s">
        <v>43</v>
      </c>
      <c r="B6" s="195"/>
      <c r="C6" s="194"/>
      <c r="D6" s="8"/>
      <c r="E6" s="5"/>
      <c r="F6" s="5"/>
      <c r="G6" s="4"/>
    </row>
    <row r="7" spans="1:13" x14ac:dyDescent="0.25">
      <c r="A7" s="4" t="s">
        <v>6</v>
      </c>
      <c r="B7" s="214" t="e">
        <f>VLOOKUP($B$6,ADSL!$A:$CG,7,0)</f>
        <v>#N/A</v>
      </c>
      <c r="C7" s="215"/>
      <c r="D7" s="8"/>
      <c r="E7" s="5"/>
      <c r="F7" s="5"/>
      <c r="G7" s="9"/>
    </row>
    <row r="8" spans="1:13" x14ac:dyDescent="0.25">
      <c r="A8" s="9"/>
      <c r="B8" s="9"/>
      <c r="C8" s="10"/>
      <c r="D8" s="10"/>
      <c r="E8" s="10"/>
      <c r="F8" s="10"/>
      <c r="G8" s="9"/>
      <c r="H8" s="9"/>
      <c r="I8" s="9"/>
      <c r="J8" s="9"/>
    </row>
    <row r="9" spans="1:13" ht="25.5" x14ac:dyDescent="0.25">
      <c r="A9" s="205" t="s">
        <v>7</v>
      </c>
      <c r="B9" s="205"/>
      <c r="C9" s="206" t="e">
        <f>VLOOKUP($B$6,ADSL!$A:$CG,8,0)</f>
        <v>#N/A</v>
      </c>
      <c r="D9" s="207"/>
      <c r="E9" s="207"/>
      <c r="F9" s="208"/>
      <c r="G9" s="71" t="s">
        <v>8</v>
      </c>
      <c r="H9" s="154"/>
      <c r="I9" s="155"/>
    </row>
    <row r="10" spans="1:13" ht="25.5" x14ac:dyDescent="0.25">
      <c r="A10" s="209" t="s">
        <v>9</v>
      </c>
      <c r="B10" s="209"/>
      <c r="C10" s="206" t="e">
        <f>VLOOKUP($B$6,ADSL!$A:$CG,9,0)</f>
        <v>#N/A</v>
      </c>
      <c r="D10" s="207"/>
      <c r="E10" s="207"/>
      <c r="F10" s="208"/>
      <c r="G10" s="71" t="s">
        <v>8</v>
      </c>
      <c r="H10" s="152"/>
      <c r="I10" s="153"/>
    </row>
    <row r="11" spans="1:13" ht="6" customHeight="1" x14ac:dyDescent="0.25"/>
    <row r="12" spans="1:13" ht="6" customHeight="1" x14ac:dyDescent="0.25"/>
    <row r="13" spans="1:13" ht="6" customHeight="1" thickBot="1" x14ac:dyDescent="0.3"/>
    <row r="14" spans="1:13" ht="15.75" thickBot="1" x14ac:dyDescent="0.3">
      <c r="A14" s="11" t="s">
        <v>10</v>
      </c>
      <c r="B14" s="11" t="s">
        <v>11</v>
      </c>
      <c r="C14" s="200" t="s">
        <v>12</v>
      </c>
      <c r="D14" s="201"/>
      <c r="E14" s="201"/>
      <c r="F14" s="201"/>
      <c r="G14" s="201"/>
      <c r="H14" s="11" t="s">
        <v>11</v>
      </c>
      <c r="I14" s="12" t="s">
        <v>13</v>
      </c>
      <c r="J14" s="12" t="s">
        <v>47</v>
      </c>
    </row>
    <row r="15" spans="1:13" x14ac:dyDescent="0.25">
      <c r="A15" s="202" t="s">
        <v>14</v>
      </c>
      <c r="B15" s="202">
        <v>10</v>
      </c>
      <c r="C15" s="210" t="s">
        <v>15</v>
      </c>
      <c r="D15" s="210"/>
      <c r="E15" s="210"/>
      <c r="F15" s="210"/>
      <c r="G15" s="210"/>
      <c r="H15" s="173">
        <v>2.5</v>
      </c>
      <c r="I15" s="13" t="s">
        <v>126</v>
      </c>
      <c r="J15" s="64">
        <f>IF(I15="si",2.5,IF(I15="no",0,IF(I15="n/a",2.5)))</f>
        <v>2.5</v>
      </c>
    </row>
    <row r="16" spans="1:13" x14ac:dyDescent="0.25">
      <c r="A16" s="203"/>
      <c r="B16" s="203"/>
      <c r="C16" s="211" t="s">
        <v>16</v>
      </c>
      <c r="D16" s="211"/>
      <c r="E16" s="211"/>
      <c r="F16" s="211"/>
      <c r="G16" s="211"/>
      <c r="H16" s="174">
        <v>2.5</v>
      </c>
      <c r="I16" s="14" t="s">
        <v>126</v>
      </c>
      <c r="J16" s="65">
        <f t="shared" ref="J16:J18" si="0">IF(I16="si",2.5,IF(I16="no",0,IF(I16="n/a",2.5)))</f>
        <v>2.5</v>
      </c>
    </row>
    <row r="17" spans="1:10" x14ac:dyDescent="0.25">
      <c r="A17" s="203"/>
      <c r="B17" s="203"/>
      <c r="C17" s="211" t="s">
        <v>17</v>
      </c>
      <c r="D17" s="211"/>
      <c r="E17" s="211"/>
      <c r="F17" s="211"/>
      <c r="G17" s="211"/>
      <c r="H17" s="174">
        <v>2.5</v>
      </c>
      <c r="I17" s="14" t="s">
        <v>126</v>
      </c>
      <c r="J17" s="65">
        <f t="shared" si="0"/>
        <v>2.5</v>
      </c>
    </row>
    <row r="18" spans="1:10" ht="15.75" thickBot="1" x14ac:dyDescent="0.3">
      <c r="A18" s="204"/>
      <c r="B18" s="204"/>
      <c r="C18" s="212" t="s">
        <v>18</v>
      </c>
      <c r="D18" s="212"/>
      <c r="E18" s="212"/>
      <c r="F18" s="212"/>
      <c r="G18" s="212"/>
      <c r="H18" s="174">
        <v>2.5</v>
      </c>
      <c r="I18" s="15" t="s">
        <v>126</v>
      </c>
      <c r="J18" s="66">
        <f t="shared" si="0"/>
        <v>2.5</v>
      </c>
    </row>
    <row r="19" spans="1:10" ht="15.75" thickBot="1" x14ac:dyDescent="0.3">
      <c r="A19" s="169"/>
      <c r="B19" s="199"/>
      <c r="C19" s="199"/>
      <c r="D19" s="199"/>
      <c r="E19" s="199"/>
      <c r="F19" s="170"/>
      <c r="G19" s="170"/>
      <c r="H19" s="171"/>
      <c r="I19" s="172"/>
      <c r="J19" s="172"/>
    </row>
    <row r="20" spans="1:10" x14ac:dyDescent="0.25">
      <c r="A20" s="218" t="s">
        <v>19</v>
      </c>
      <c r="B20" s="202">
        <v>5</v>
      </c>
      <c r="C20" s="210" t="s">
        <v>15</v>
      </c>
      <c r="D20" s="210"/>
      <c r="E20" s="210"/>
      <c r="F20" s="210"/>
      <c r="G20" s="210"/>
      <c r="H20" s="176">
        <v>2</v>
      </c>
      <c r="I20" s="13" t="s">
        <v>126</v>
      </c>
      <c r="J20" s="64">
        <f>IF(I20="si",2,IF(I20="no",0,IF(I20="n/a",2)))</f>
        <v>2</v>
      </c>
    </row>
    <row r="21" spans="1:10" x14ac:dyDescent="0.25">
      <c r="A21" s="219"/>
      <c r="B21" s="203"/>
      <c r="C21" s="211" t="s">
        <v>16</v>
      </c>
      <c r="D21" s="211"/>
      <c r="E21" s="211"/>
      <c r="F21" s="211"/>
      <c r="G21" s="211"/>
      <c r="H21" s="177">
        <v>1</v>
      </c>
      <c r="I21" s="14" t="s">
        <v>126</v>
      </c>
      <c r="J21" s="65">
        <f>IF(I21="si",1,IF(I21="no",0,IF(I21="n/a",1)))</f>
        <v>1</v>
      </c>
    </row>
    <row r="22" spans="1:10" x14ac:dyDescent="0.25">
      <c r="A22" s="219"/>
      <c r="B22" s="203"/>
      <c r="C22" s="211" t="s">
        <v>20</v>
      </c>
      <c r="D22" s="211"/>
      <c r="E22" s="211"/>
      <c r="F22" s="211"/>
      <c r="G22" s="211"/>
      <c r="H22" s="177">
        <v>1</v>
      </c>
      <c r="I22" s="14" t="s">
        <v>126</v>
      </c>
      <c r="J22" s="65">
        <f>IF(I22="si",1,IF(I22="no",0,IF(I22="n/a",1)))</f>
        <v>1</v>
      </c>
    </row>
    <row r="23" spans="1:10" ht="15.75" thickBot="1" x14ac:dyDescent="0.3">
      <c r="A23" s="220"/>
      <c r="B23" s="204"/>
      <c r="C23" s="212" t="s">
        <v>21</v>
      </c>
      <c r="D23" s="212"/>
      <c r="E23" s="212"/>
      <c r="F23" s="212"/>
      <c r="G23" s="212"/>
      <c r="H23" s="178">
        <v>1</v>
      </c>
      <c r="I23" s="15" t="s">
        <v>126</v>
      </c>
      <c r="J23" s="66">
        <f>IF(I23="si",1,IF(I23="no",0,IF(I23="n/a",1)))</f>
        <v>1</v>
      </c>
    </row>
    <row r="24" spans="1:10" ht="15" customHeight="1" thickBot="1" x14ac:dyDescent="0.3">
      <c r="A24" s="169"/>
      <c r="B24" s="199"/>
      <c r="C24" s="199"/>
      <c r="D24" s="199"/>
      <c r="E24" s="199"/>
      <c r="F24" s="170"/>
      <c r="G24" s="170"/>
      <c r="H24" s="171"/>
      <c r="I24" s="172"/>
      <c r="J24" s="172"/>
    </row>
    <row r="25" spans="1:10" x14ac:dyDescent="0.25">
      <c r="A25" s="218" t="s">
        <v>22</v>
      </c>
      <c r="B25" s="202">
        <v>30</v>
      </c>
      <c r="C25" s="221" t="s">
        <v>23</v>
      </c>
      <c r="D25" s="222"/>
      <c r="E25" s="222"/>
      <c r="F25" s="222"/>
      <c r="G25" s="222"/>
      <c r="H25" s="173">
        <v>5</v>
      </c>
      <c r="I25" s="13" t="e">
        <f>VLOOKUP($B$6,ADSL!$A:$CG,11,0)</f>
        <v>#N/A</v>
      </c>
      <c r="J25" s="64" t="e">
        <f t="shared" ref="J25:J30" si="1">IF(I25="si",5,IF(I25="no",0,IF(I25="n/a",5)))</f>
        <v>#N/A</v>
      </c>
    </row>
    <row r="26" spans="1:10" x14ac:dyDescent="0.25">
      <c r="A26" s="219"/>
      <c r="B26" s="203"/>
      <c r="C26" s="223" t="s">
        <v>24</v>
      </c>
      <c r="D26" s="224"/>
      <c r="E26" s="224"/>
      <c r="F26" s="224"/>
      <c r="G26" s="224"/>
      <c r="H26" s="174">
        <v>5</v>
      </c>
      <c r="I26" s="14" t="e">
        <f>VLOOKUP($B$6,ADSL!$A:$CG,12,0)</f>
        <v>#N/A</v>
      </c>
      <c r="J26" s="65" t="e">
        <f t="shared" si="1"/>
        <v>#N/A</v>
      </c>
    </row>
    <row r="27" spans="1:10" ht="26.25" customHeight="1" x14ac:dyDescent="0.25">
      <c r="A27" s="219"/>
      <c r="B27" s="203"/>
      <c r="C27" s="223" t="s">
        <v>25</v>
      </c>
      <c r="D27" s="224"/>
      <c r="E27" s="224"/>
      <c r="F27" s="224"/>
      <c r="G27" s="225"/>
      <c r="H27" s="174">
        <v>5</v>
      </c>
      <c r="I27" s="14" t="e">
        <f>VLOOKUP($B$6,ADSL!$A:$CG,13,0)</f>
        <v>#N/A</v>
      </c>
      <c r="J27" s="65" t="e">
        <f t="shared" si="1"/>
        <v>#N/A</v>
      </c>
    </row>
    <row r="28" spans="1:10" x14ac:dyDescent="0.25">
      <c r="A28" s="219"/>
      <c r="B28" s="203"/>
      <c r="C28" s="223" t="s">
        <v>26</v>
      </c>
      <c r="D28" s="224"/>
      <c r="E28" s="224"/>
      <c r="F28" s="224"/>
      <c r="G28" s="224"/>
      <c r="H28" s="174">
        <v>5</v>
      </c>
      <c r="I28" s="14" t="e">
        <f>VLOOKUP($B$6,ADSL!$A:$CG,14,0)</f>
        <v>#N/A</v>
      </c>
      <c r="J28" s="65" t="e">
        <f t="shared" si="1"/>
        <v>#N/A</v>
      </c>
    </row>
    <row r="29" spans="1:10" x14ac:dyDescent="0.25">
      <c r="A29" s="219"/>
      <c r="B29" s="203"/>
      <c r="C29" s="223" t="s">
        <v>27</v>
      </c>
      <c r="D29" s="224"/>
      <c r="E29" s="224"/>
      <c r="F29" s="224"/>
      <c r="G29" s="224"/>
      <c r="H29" s="174">
        <v>5</v>
      </c>
      <c r="I29" s="14" t="e">
        <f>VLOOKUP($B$6,ADSL!$A:$CG,15,0)</f>
        <v>#N/A</v>
      </c>
      <c r="J29" s="65" t="e">
        <f t="shared" si="1"/>
        <v>#N/A</v>
      </c>
    </row>
    <row r="30" spans="1:10" ht="15.75" thickBot="1" x14ac:dyDescent="0.3">
      <c r="A30" s="220"/>
      <c r="B30" s="204"/>
      <c r="C30" s="226" t="s">
        <v>28</v>
      </c>
      <c r="D30" s="227"/>
      <c r="E30" s="227"/>
      <c r="F30" s="227"/>
      <c r="G30" s="227"/>
      <c r="H30" s="175">
        <v>5</v>
      </c>
      <c r="I30" s="15" t="e">
        <f>VLOOKUP($B$6,ADSL!$A:$CG,16,0)</f>
        <v>#N/A</v>
      </c>
      <c r="J30" s="66" t="e">
        <f t="shared" si="1"/>
        <v>#N/A</v>
      </c>
    </row>
    <row r="31" spans="1:10" ht="15.75" thickBot="1" x14ac:dyDescent="0.3"/>
    <row r="32" spans="1:10" ht="15.75" thickBot="1" x14ac:dyDescent="0.3">
      <c r="A32" s="228" t="s">
        <v>30</v>
      </c>
      <c r="B32" s="229"/>
      <c r="C32" s="229"/>
      <c r="D32" s="229"/>
      <c r="E32" s="229"/>
      <c r="F32" s="229"/>
      <c r="G32" s="229"/>
      <c r="H32" s="229"/>
      <c r="I32" s="13" t="e">
        <f>VLOOKUP($B$6,ADSL!$A:$CG,17,0)</f>
        <v>#N/A</v>
      </c>
      <c r="J32" s="13"/>
    </row>
    <row r="33" spans="1:12" ht="15.75" thickBot="1" x14ac:dyDescent="0.3">
      <c r="A33" s="98" t="s">
        <v>10</v>
      </c>
      <c r="B33" s="98" t="s">
        <v>11</v>
      </c>
      <c r="C33" s="230" t="s">
        <v>12</v>
      </c>
      <c r="D33" s="231"/>
      <c r="E33" s="231"/>
      <c r="F33" s="231"/>
      <c r="G33" s="231"/>
      <c r="H33" s="98" t="s">
        <v>11</v>
      </c>
      <c r="I33" s="12" t="s">
        <v>13</v>
      </c>
      <c r="J33" s="12"/>
    </row>
    <row r="34" spans="1:12" x14ac:dyDescent="0.25">
      <c r="A34" s="236" t="s">
        <v>31</v>
      </c>
      <c r="B34" s="236">
        <v>20</v>
      </c>
      <c r="C34" s="253" t="s">
        <v>32</v>
      </c>
      <c r="D34" s="254"/>
      <c r="E34" s="254"/>
      <c r="F34" s="254"/>
      <c r="G34" s="255"/>
      <c r="H34" s="184">
        <v>3</v>
      </c>
      <c r="I34" s="187" t="e">
        <f>VLOOKUP($B$6,ADSL!$A:$CG,18,0)</f>
        <v>#N/A</v>
      </c>
      <c r="J34" s="13" t="e">
        <f>IF(I34="si",3,IF(I34="no",0,IF(I34="n/a",3)))</f>
        <v>#N/A</v>
      </c>
    </row>
    <row r="35" spans="1:12" x14ac:dyDescent="0.25">
      <c r="A35" s="237"/>
      <c r="B35" s="237"/>
      <c r="C35" s="243" t="s">
        <v>33</v>
      </c>
      <c r="D35" s="244"/>
      <c r="E35" s="244"/>
      <c r="F35" s="244"/>
      <c r="G35" s="245"/>
      <c r="H35" s="185">
        <v>2</v>
      </c>
      <c r="I35" s="188" t="e">
        <f>VLOOKUP($B$6,ADSL!$A:$CG,19,0)</f>
        <v>#N/A</v>
      </c>
      <c r="J35" s="14" t="e">
        <f>IF(I35="si",2,IF(I35="no",0,IF(I35="n/a",2)))</f>
        <v>#N/A</v>
      </c>
    </row>
    <row r="36" spans="1:12" x14ac:dyDescent="0.25">
      <c r="A36" s="237"/>
      <c r="B36" s="237"/>
      <c r="C36" s="243" t="s">
        <v>34</v>
      </c>
      <c r="D36" s="244"/>
      <c r="E36" s="244"/>
      <c r="F36" s="244"/>
      <c r="G36" s="245"/>
      <c r="H36" s="185">
        <v>3</v>
      </c>
      <c r="I36" s="188" t="e">
        <f>VLOOKUP($B$6,ADSL!$A:$CG,20,0)</f>
        <v>#N/A</v>
      </c>
      <c r="J36" s="14" t="e">
        <f>IF(I36="si",3,IF(I36="no",0,IF(I36="n/a",3)))</f>
        <v>#N/A</v>
      </c>
    </row>
    <row r="37" spans="1:12" x14ac:dyDescent="0.25">
      <c r="A37" s="237"/>
      <c r="B37" s="237"/>
      <c r="C37" s="240" t="s">
        <v>35</v>
      </c>
      <c r="D37" s="241"/>
      <c r="E37" s="241"/>
      <c r="F37" s="241"/>
      <c r="G37" s="242"/>
      <c r="H37" s="185">
        <v>3</v>
      </c>
      <c r="I37" s="188" t="e">
        <f>VLOOKUP($B$6,ADSL!$A:$CG,21,0)</f>
        <v>#N/A</v>
      </c>
      <c r="J37" s="14" t="e">
        <f>IF(I37="si",3,IF(I37="no",0,IF(I37="n/a",3)))</f>
        <v>#N/A</v>
      </c>
    </row>
    <row r="38" spans="1:12" x14ac:dyDescent="0.25">
      <c r="A38" s="237"/>
      <c r="B38" s="237"/>
      <c r="C38" s="243" t="s">
        <v>36</v>
      </c>
      <c r="D38" s="244"/>
      <c r="E38" s="244"/>
      <c r="F38" s="244"/>
      <c r="G38" s="245"/>
      <c r="H38" s="185">
        <v>3</v>
      </c>
      <c r="I38" s="188" t="e">
        <f>VLOOKUP($B$6,ADSL!$A:$CG,22,0)</f>
        <v>#N/A</v>
      </c>
      <c r="J38" s="14" t="e">
        <f>IF(I38="si",3,IF(I38="no",0,IF(I38="n/a",3)))</f>
        <v>#N/A</v>
      </c>
    </row>
    <row r="39" spans="1:12" x14ac:dyDescent="0.25">
      <c r="A39" s="237"/>
      <c r="B39" s="237"/>
      <c r="C39" s="243" t="s">
        <v>37</v>
      </c>
      <c r="D39" s="244"/>
      <c r="E39" s="244"/>
      <c r="F39" s="244"/>
      <c r="G39" s="245"/>
      <c r="H39" s="185">
        <v>3</v>
      </c>
      <c r="I39" s="188" t="e">
        <f>VLOOKUP($B$6,ADSL!$A:$CG,23,0)</f>
        <v>#N/A</v>
      </c>
      <c r="J39" s="14" t="e">
        <f>IF(I39="si",3,IF(I39="no",0,IF(I39="n/a",3)))</f>
        <v>#N/A</v>
      </c>
    </row>
    <row r="40" spans="1:12" ht="15.75" thickBot="1" x14ac:dyDescent="0.3">
      <c r="A40" s="238"/>
      <c r="B40" s="238"/>
      <c r="C40" s="246" t="s">
        <v>38</v>
      </c>
      <c r="D40" s="247"/>
      <c r="E40" s="247"/>
      <c r="F40" s="247"/>
      <c r="G40" s="248"/>
      <c r="H40" s="186">
        <v>3</v>
      </c>
      <c r="I40" s="189" t="e">
        <f>VLOOKUP($B$6,ADSL!$A:$CG,24,0)</f>
        <v>#N/A</v>
      </c>
      <c r="J40" s="15" t="e">
        <f>IF(I40="si",3,IF(I40="no",0,IF(I40="n/a",3)))</f>
        <v>#N/A</v>
      </c>
    </row>
    <row r="41" spans="1:12" ht="15.75" thickBot="1" x14ac:dyDescent="0.3">
      <c r="A41" s="179"/>
      <c r="B41" s="179"/>
      <c r="C41" s="180"/>
      <c r="D41" s="180"/>
      <c r="E41" s="180"/>
      <c r="F41" s="180"/>
      <c r="G41" s="180"/>
      <c r="H41" s="100"/>
      <c r="I41" s="84"/>
      <c r="J41" s="16"/>
    </row>
    <row r="42" spans="1:12" ht="15.75" customHeight="1" thickBot="1" x14ac:dyDescent="0.3">
      <c r="A42" s="202" t="s">
        <v>147</v>
      </c>
      <c r="B42" s="234">
        <f>SUM(H42:H43)</f>
        <v>35</v>
      </c>
      <c r="C42" s="232" t="s">
        <v>148</v>
      </c>
      <c r="D42" s="232"/>
      <c r="E42" s="232"/>
      <c r="F42" s="232"/>
      <c r="G42" s="232"/>
      <c r="H42" s="181">
        <v>20</v>
      </c>
      <c r="I42" s="183" t="e">
        <f>VLOOKUP($B$6,ADSL!$A:$CG,25,0)</f>
        <v>#N/A</v>
      </c>
      <c r="J42" s="14" t="e">
        <f>IF(I42="si",20,IF(I42="no",0,IF(I42="n/a",20)))</f>
        <v>#N/A</v>
      </c>
    </row>
    <row r="43" spans="1:12" ht="15.75" thickBot="1" x14ac:dyDescent="0.3">
      <c r="A43" s="204"/>
      <c r="B43" s="235"/>
      <c r="C43" s="233" t="s">
        <v>149</v>
      </c>
      <c r="D43" s="233"/>
      <c r="E43" s="233"/>
      <c r="F43" s="233"/>
      <c r="G43" s="233"/>
      <c r="H43" s="182">
        <v>15</v>
      </c>
      <c r="I43" s="95" t="e">
        <f>VLOOKUP($B$6,ADSL!$A:$CG,26,0)</f>
        <v>#N/A</v>
      </c>
      <c r="J43" s="14" t="e">
        <f>IF(I43="si",15,IF(I43="no",0,IF(I43="n/a",15)))</f>
        <v>#N/A</v>
      </c>
    </row>
    <row r="44" spans="1:12" ht="15" customHeight="1" x14ac:dyDescent="0.25">
      <c r="A44" s="179"/>
      <c r="B44" s="179"/>
      <c r="C44" s="180"/>
      <c r="D44" s="180"/>
      <c r="E44" s="180"/>
      <c r="F44" s="180"/>
      <c r="G44" s="180"/>
      <c r="H44" s="100"/>
      <c r="I44" s="84"/>
      <c r="J44" s="16"/>
    </row>
    <row r="45" spans="1:12" ht="15" customHeight="1" x14ac:dyDescent="0.25">
      <c r="A45" s="179"/>
      <c r="B45" s="179"/>
      <c r="C45" s="180"/>
      <c r="D45" s="180"/>
      <c r="E45" s="180"/>
      <c r="F45" s="180"/>
      <c r="G45" s="180"/>
      <c r="H45" s="100"/>
      <c r="I45" s="84"/>
      <c r="J45" s="16"/>
    </row>
    <row r="46" spans="1:12" s="18" customFormat="1" ht="15.75" customHeight="1" thickBot="1" x14ac:dyDescent="0.25">
      <c r="A46" s="71"/>
      <c r="B46" s="20"/>
      <c r="C46" s="16"/>
      <c r="D46" s="16"/>
      <c r="E46" s="17"/>
      <c r="F46" s="17"/>
      <c r="G46" s="17"/>
      <c r="H46" s="84"/>
      <c r="I46" s="84"/>
      <c r="J46" s="84"/>
      <c r="L46" s="19"/>
    </row>
    <row r="47" spans="1:12" s="18" customFormat="1" ht="15.75" customHeight="1" x14ac:dyDescent="0.2">
      <c r="A47" s="130" t="s">
        <v>29</v>
      </c>
      <c r="B47" s="131"/>
      <c r="C47" s="131"/>
      <c r="D47" s="131"/>
      <c r="E47" s="131"/>
      <c r="F47" s="131"/>
      <c r="G47" s="131"/>
      <c r="H47" s="131"/>
      <c r="I47" s="132"/>
      <c r="J47" s="84"/>
    </row>
    <row r="48" spans="1:12" s="18" customFormat="1" ht="15.75" customHeight="1" thickBot="1" x14ac:dyDescent="0.25">
      <c r="A48" s="133"/>
      <c r="B48" s="249" t="e">
        <f>VLOOKUP($B$6,ADSL!$A:$CG,71,0)</f>
        <v>#N/A</v>
      </c>
      <c r="C48" s="249"/>
      <c r="D48" s="249"/>
      <c r="E48" s="249"/>
      <c r="F48" s="249" t="e">
        <f>VLOOKUP($B$6,ADSL!$A:$CG,9,0)</f>
        <v>#N/A</v>
      </c>
      <c r="G48" s="249"/>
      <c r="H48" s="249"/>
      <c r="I48" s="250"/>
      <c r="J48" s="84"/>
    </row>
    <row r="49" spans="1:11" s="18" customFormat="1" ht="15.75" customHeight="1" thickBot="1" x14ac:dyDescent="0.25">
      <c r="A49" s="134"/>
      <c r="B49" s="251" t="e">
        <f>VLOOKUP($B$6,ADSL!$A:$CG,9,0)</f>
        <v>#N/A</v>
      </c>
      <c r="C49" s="251"/>
      <c r="D49" s="251"/>
      <c r="E49" s="251"/>
      <c r="F49" s="251" t="e">
        <f>VLOOKUP($B$6,ADSL!$A:$CG,9,0)</f>
        <v>#N/A</v>
      </c>
      <c r="G49" s="251"/>
      <c r="H49" s="251"/>
      <c r="I49" s="252"/>
      <c r="J49" s="94" t="e">
        <f>IF(I32="NO",SUM(J15:J30)+55,SUM(J15:J30,J34:J40))+J42+J43</f>
        <v>#N/A</v>
      </c>
    </row>
    <row r="50" spans="1:11" s="18" customFormat="1" ht="12.75" x14ac:dyDescent="0.2">
      <c r="H50" s="84"/>
      <c r="I50" s="84"/>
      <c r="J50" s="84"/>
    </row>
    <row r="52" spans="1:11" x14ac:dyDescent="0.25">
      <c r="A52" s="149" t="s">
        <v>39</v>
      </c>
      <c r="B52" s="21"/>
      <c r="C52" s="22" t="s">
        <v>140</v>
      </c>
      <c r="D52" s="22"/>
      <c r="E52" s="18"/>
      <c r="F52" s="22" t="s">
        <v>141</v>
      </c>
      <c r="J52" s="22" t="s">
        <v>142</v>
      </c>
    </row>
    <row r="53" spans="1:11" x14ac:dyDescent="0.25">
      <c r="A53" s="23"/>
      <c r="B53" s="21"/>
      <c r="C53" s="24"/>
      <c r="D53" s="24"/>
      <c r="E53" s="18"/>
    </row>
    <row r="54" spans="1:11" x14ac:dyDescent="0.25">
      <c r="A54" s="148" t="s">
        <v>40</v>
      </c>
      <c r="B54" s="150"/>
      <c r="C54" s="148" t="s">
        <v>40</v>
      </c>
      <c r="D54" s="151"/>
      <c r="E54" s="18"/>
      <c r="F54" s="148" t="s">
        <v>40</v>
      </c>
      <c r="G54" s="137"/>
      <c r="H54" s="136"/>
      <c r="J54" s="148" t="s">
        <v>40</v>
      </c>
      <c r="K54" s="137"/>
    </row>
    <row r="55" spans="1:11" x14ac:dyDescent="0.25">
      <c r="F55" s="193" t="s">
        <v>152</v>
      </c>
      <c r="H55"/>
      <c r="I55"/>
      <c r="J55" s="256" t="s">
        <v>153</v>
      </c>
      <c r="K55" s="256"/>
    </row>
    <row r="60" spans="1:11" x14ac:dyDescent="0.25">
      <c r="D60" s="67"/>
    </row>
    <row r="61" spans="1:11" x14ac:dyDescent="0.25">
      <c r="D61" s="67"/>
    </row>
    <row r="62" spans="1:11" ht="31.5" x14ac:dyDescent="0.25">
      <c r="D62" s="67"/>
      <c r="I62" s="239"/>
      <c r="J62" s="239"/>
    </row>
    <row r="63" spans="1:11" x14ac:dyDescent="0.25">
      <c r="D63" s="67"/>
    </row>
    <row r="64" spans="1:11" x14ac:dyDescent="0.25">
      <c r="D64" s="67"/>
    </row>
    <row r="65" spans="2:9" x14ac:dyDescent="0.25">
      <c r="B65" t="e">
        <f>VLOOKUP($B$6,ADSL!$A:$CG,61,0)</f>
        <v>#N/A</v>
      </c>
      <c r="D65" s="67"/>
      <c r="I65" s="157" t="e">
        <f>HYPERLINK(B65,"Abrir Imagen")</f>
        <v>#N/A</v>
      </c>
    </row>
    <row r="66" spans="2:9" x14ac:dyDescent="0.25">
      <c r="D66" s="67"/>
    </row>
    <row r="67" spans="2:9" x14ac:dyDescent="0.25">
      <c r="D67" s="67"/>
    </row>
    <row r="68" spans="2:9" x14ac:dyDescent="0.25">
      <c r="D68" s="68"/>
    </row>
    <row r="69" spans="2:9" x14ac:dyDescent="0.25">
      <c r="D69" s="68"/>
    </row>
    <row r="70" spans="2:9" x14ac:dyDescent="0.25">
      <c r="D70" s="68"/>
    </row>
    <row r="71" spans="2:9" x14ac:dyDescent="0.25">
      <c r="D71" s="68"/>
    </row>
    <row r="72" spans="2:9" x14ac:dyDescent="0.25">
      <c r="D72" s="68"/>
    </row>
    <row r="73" spans="2:9" x14ac:dyDescent="0.25">
      <c r="D73" s="68"/>
    </row>
    <row r="74" spans="2:9" x14ac:dyDescent="0.25">
      <c r="D74" s="68"/>
    </row>
    <row r="75" spans="2:9" x14ac:dyDescent="0.25">
      <c r="D75" s="68"/>
    </row>
    <row r="76" spans="2:9" x14ac:dyDescent="0.25">
      <c r="D76" s="68"/>
    </row>
    <row r="77" spans="2:9" x14ac:dyDescent="0.25">
      <c r="D77" s="68"/>
    </row>
    <row r="78" spans="2:9" x14ac:dyDescent="0.25">
      <c r="D78" s="68"/>
    </row>
    <row r="79" spans="2:9" x14ac:dyDescent="0.25">
      <c r="D79" s="68"/>
    </row>
    <row r="80" spans="2:9" x14ac:dyDescent="0.25">
      <c r="D80" s="68"/>
    </row>
    <row r="81" spans="4:4" x14ac:dyDescent="0.25">
      <c r="D81" s="68"/>
    </row>
    <row r="82" spans="4:4" x14ac:dyDescent="0.25">
      <c r="D82" s="68"/>
    </row>
    <row r="83" spans="4:4" x14ac:dyDescent="0.25">
      <c r="D83" s="68"/>
    </row>
    <row r="84" spans="4:4" x14ac:dyDescent="0.25">
      <c r="D84" s="68"/>
    </row>
    <row r="85" spans="4:4" x14ac:dyDescent="0.25">
      <c r="D85" s="68"/>
    </row>
    <row r="86" spans="4:4" x14ac:dyDescent="0.25">
      <c r="D86" s="68"/>
    </row>
    <row r="87" spans="4:4" x14ac:dyDescent="0.25">
      <c r="D87" s="68"/>
    </row>
    <row r="88" spans="4:4" x14ac:dyDescent="0.25">
      <c r="D88" s="68"/>
    </row>
    <row r="89" spans="4:4" x14ac:dyDescent="0.25">
      <c r="D89" s="68"/>
    </row>
    <row r="90" spans="4:4" x14ac:dyDescent="0.25">
      <c r="D90" s="68"/>
    </row>
    <row r="91" spans="4:4" x14ac:dyDescent="0.25">
      <c r="D91" s="68"/>
    </row>
    <row r="92" spans="4:4" x14ac:dyDescent="0.25">
      <c r="D92" s="68"/>
    </row>
    <row r="93" spans="4:4" x14ac:dyDescent="0.25">
      <c r="D93" s="68"/>
    </row>
    <row r="94" spans="4:4" x14ac:dyDescent="0.25">
      <c r="D94" s="68"/>
    </row>
    <row r="95" spans="4:4" x14ac:dyDescent="0.25">
      <c r="D95" s="68"/>
    </row>
    <row r="96" spans="4:4" x14ac:dyDescent="0.25">
      <c r="D96" s="68"/>
    </row>
    <row r="97" spans="2:10" x14ac:dyDescent="0.25">
      <c r="D97" s="68"/>
    </row>
    <row r="98" spans="2:10" x14ac:dyDescent="0.25">
      <c r="D98" s="68"/>
    </row>
    <row r="99" spans="2:10" x14ac:dyDescent="0.25">
      <c r="D99" s="68"/>
    </row>
    <row r="100" spans="2:10" x14ac:dyDescent="0.25">
      <c r="D100" s="68"/>
    </row>
    <row r="101" spans="2:10" x14ac:dyDescent="0.25">
      <c r="D101" s="67"/>
    </row>
    <row r="102" spans="2:10" x14ac:dyDescent="0.25">
      <c r="D102" s="67"/>
    </row>
    <row r="103" spans="2:10" x14ac:dyDescent="0.25">
      <c r="D103" s="67"/>
    </row>
    <row r="104" spans="2:10" x14ac:dyDescent="0.25">
      <c r="D104" s="67"/>
    </row>
    <row r="105" spans="2:10" x14ac:dyDescent="0.25">
      <c r="D105" s="67"/>
    </row>
    <row r="106" spans="2:10" ht="31.5" x14ac:dyDescent="0.25">
      <c r="D106" s="67"/>
      <c r="I106" s="239"/>
      <c r="J106" s="239"/>
    </row>
    <row r="107" spans="2:10" x14ac:dyDescent="0.25">
      <c r="D107" s="67"/>
    </row>
    <row r="108" spans="2:10" x14ac:dyDescent="0.25">
      <c r="D108" s="67"/>
    </row>
    <row r="109" spans="2:10" x14ac:dyDescent="0.25">
      <c r="B109" t="e">
        <f>VLOOKUP($B$6,ADSL!$A:$CG,62,0)</f>
        <v>#N/A</v>
      </c>
      <c r="D109" s="67"/>
      <c r="I109" s="157" t="e">
        <f>HYPERLINK(B109,"Abrir Imagen")</f>
        <v>#N/A</v>
      </c>
    </row>
    <row r="110" spans="2:10" x14ac:dyDescent="0.25">
      <c r="D110" s="67"/>
    </row>
    <row r="111" spans="2:10" x14ac:dyDescent="0.25">
      <c r="D111" s="67"/>
    </row>
    <row r="112" spans="2:10" x14ac:dyDescent="0.25">
      <c r="D112" s="68"/>
    </row>
    <row r="113" spans="4:4" x14ac:dyDescent="0.25">
      <c r="D113" s="68"/>
    </row>
    <row r="114" spans="4:4" x14ac:dyDescent="0.25">
      <c r="D114" s="68"/>
    </row>
    <row r="115" spans="4:4" x14ac:dyDescent="0.25">
      <c r="D115" s="68"/>
    </row>
    <row r="116" spans="4:4" x14ac:dyDescent="0.25">
      <c r="D116" s="68"/>
    </row>
    <row r="117" spans="4:4" x14ac:dyDescent="0.25">
      <c r="D117" s="68"/>
    </row>
    <row r="118" spans="4:4" x14ac:dyDescent="0.25">
      <c r="D118" s="68"/>
    </row>
    <row r="119" spans="4:4" x14ac:dyDescent="0.25">
      <c r="D119" s="68"/>
    </row>
    <row r="120" spans="4:4" x14ac:dyDescent="0.25">
      <c r="D120" s="68"/>
    </row>
    <row r="121" spans="4:4" x14ac:dyDescent="0.25">
      <c r="D121" s="68"/>
    </row>
    <row r="122" spans="4:4" x14ac:dyDescent="0.25">
      <c r="D122" s="68"/>
    </row>
    <row r="123" spans="4:4" x14ac:dyDescent="0.25">
      <c r="D123" s="68"/>
    </row>
    <row r="124" spans="4:4" x14ac:dyDescent="0.25">
      <c r="D124" s="68"/>
    </row>
    <row r="125" spans="4:4" x14ac:dyDescent="0.25">
      <c r="D125" s="68"/>
    </row>
    <row r="126" spans="4:4" x14ac:dyDescent="0.25">
      <c r="D126" s="68"/>
    </row>
    <row r="127" spans="4:4" x14ac:dyDescent="0.25">
      <c r="D127" s="68"/>
    </row>
    <row r="128" spans="4:4" x14ac:dyDescent="0.25">
      <c r="D128" s="68"/>
    </row>
    <row r="129" spans="4:4" x14ac:dyDescent="0.25">
      <c r="D129" s="68"/>
    </row>
    <row r="130" spans="4:4" x14ac:dyDescent="0.25">
      <c r="D130" s="68"/>
    </row>
    <row r="131" spans="4:4" x14ac:dyDescent="0.25">
      <c r="D131" s="68"/>
    </row>
    <row r="132" spans="4:4" x14ac:dyDescent="0.25">
      <c r="D132" s="68"/>
    </row>
    <row r="133" spans="4:4" x14ac:dyDescent="0.25">
      <c r="D133" s="68"/>
    </row>
    <row r="134" spans="4:4" x14ac:dyDescent="0.25">
      <c r="D134" s="68"/>
    </row>
    <row r="135" spans="4:4" x14ac:dyDescent="0.25">
      <c r="D135" s="68"/>
    </row>
    <row r="136" spans="4:4" x14ac:dyDescent="0.25">
      <c r="D136" s="68"/>
    </row>
    <row r="137" spans="4:4" x14ac:dyDescent="0.25">
      <c r="D137" s="68"/>
    </row>
    <row r="138" spans="4:4" x14ac:dyDescent="0.25">
      <c r="D138" s="68"/>
    </row>
    <row r="139" spans="4:4" x14ac:dyDescent="0.25">
      <c r="D139" s="68"/>
    </row>
    <row r="140" spans="4:4" x14ac:dyDescent="0.25">
      <c r="D140" s="68"/>
    </row>
    <row r="141" spans="4:4" x14ac:dyDescent="0.25">
      <c r="D141" s="68"/>
    </row>
    <row r="142" spans="4:4" x14ac:dyDescent="0.25">
      <c r="D142" s="68"/>
    </row>
    <row r="143" spans="4:4" x14ac:dyDescent="0.25">
      <c r="D143" s="68"/>
    </row>
    <row r="144" spans="4:4" x14ac:dyDescent="0.25">
      <c r="D144" s="68"/>
    </row>
    <row r="145" spans="2:10" x14ac:dyDescent="0.25">
      <c r="D145" s="68"/>
    </row>
    <row r="146" spans="2:10" x14ac:dyDescent="0.25">
      <c r="D146" s="68"/>
    </row>
    <row r="147" spans="2:10" x14ac:dyDescent="0.25">
      <c r="D147" s="68"/>
    </row>
    <row r="148" spans="2:10" x14ac:dyDescent="0.25">
      <c r="D148" s="67"/>
    </row>
    <row r="149" spans="2:10" x14ac:dyDescent="0.25">
      <c r="D149" s="67"/>
    </row>
    <row r="150" spans="2:10" ht="31.5" x14ac:dyDescent="0.25">
      <c r="D150" s="67"/>
      <c r="I150" s="239"/>
      <c r="J150" s="239"/>
    </row>
    <row r="151" spans="2:10" x14ac:dyDescent="0.25">
      <c r="D151" s="67"/>
    </row>
    <row r="152" spans="2:10" x14ac:dyDescent="0.25">
      <c r="D152" s="67"/>
    </row>
    <row r="153" spans="2:10" x14ac:dyDescent="0.25">
      <c r="B153" t="e">
        <f>VLOOKUP($B$6,ADSL!$A:$CG,63,0)</f>
        <v>#N/A</v>
      </c>
      <c r="D153" s="67"/>
      <c r="I153" s="157" t="e">
        <f>HYPERLINK(B153,"Abrir Imagen")</f>
        <v>#N/A</v>
      </c>
    </row>
    <row r="154" spans="2:10" x14ac:dyDescent="0.25">
      <c r="D154" s="67"/>
    </row>
    <row r="155" spans="2:10" x14ac:dyDescent="0.25">
      <c r="D155" s="67"/>
    </row>
    <row r="156" spans="2:10" x14ac:dyDescent="0.25">
      <c r="D156" s="68"/>
    </row>
    <row r="157" spans="2:10" x14ac:dyDescent="0.25">
      <c r="D157" s="68"/>
    </row>
    <row r="158" spans="2:10" x14ac:dyDescent="0.25">
      <c r="D158" s="68"/>
    </row>
    <row r="159" spans="2:10" x14ac:dyDescent="0.25">
      <c r="D159" s="68"/>
    </row>
    <row r="160" spans="2:10" x14ac:dyDescent="0.25">
      <c r="D160" s="68"/>
    </row>
    <row r="161" spans="4:4" x14ac:dyDescent="0.25">
      <c r="D161" s="68"/>
    </row>
    <row r="162" spans="4:4" x14ac:dyDescent="0.25">
      <c r="D162" s="68"/>
    </row>
    <row r="163" spans="4:4" x14ac:dyDescent="0.25">
      <c r="D163" s="68"/>
    </row>
    <row r="164" spans="4:4" x14ac:dyDescent="0.25">
      <c r="D164" s="68"/>
    </row>
    <row r="165" spans="4:4" x14ac:dyDescent="0.25">
      <c r="D165" s="68"/>
    </row>
    <row r="166" spans="4:4" x14ac:dyDescent="0.25">
      <c r="D166" s="68"/>
    </row>
    <row r="167" spans="4:4" x14ac:dyDescent="0.25">
      <c r="D167" s="68"/>
    </row>
    <row r="168" spans="4:4" x14ac:dyDescent="0.25">
      <c r="D168" s="68"/>
    </row>
    <row r="169" spans="4:4" x14ac:dyDescent="0.25">
      <c r="D169" s="68"/>
    </row>
    <row r="170" spans="4:4" x14ac:dyDescent="0.25">
      <c r="D170" s="68"/>
    </row>
    <row r="171" spans="4:4" x14ac:dyDescent="0.25">
      <c r="D171" s="68"/>
    </row>
    <row r="172" spans="4:4" x14ac:dyDescent="0.25">
      <c r="D172" s="68"/>
    </row>
    <row r="173" spans="4:4" x14ac:dyDescent="0.25">
      <c r="D173" s="68"/>
    </row>
    <row r="174" spans="4:4" x14ac:dyDescent="0.25">
      <c r="D174" s="68"/>
    </row>
    <row r="175" spans="4:4" x14ac:dyDescent="0.25">
      <c r="D175" s="68"/>
    </row>
    <row r="176" spans="4:4" x14ac:dyDescent="0.25">
      <c r="D176" s="68"/>
    </row>
    <row r="177" spans="4:4" x14ac:dyDescent="0.25">
      <c r="D177" s="68"/>
    </row>
    <row r="178" spans="4:4" x14ac:dyDescent="0.25">
      <c r="D178" s="68"/>
    </row>
    <row r="179" spans="4:4" x14ac:dyDescent="0.25">
      <c r="D179" s="68"/>
    </row>
    <row r="180" spans="4:4" x14ac:dyDescent="0.25">
      <c r="D180" s="68"/>
    </row>
    <row r="181" spans="4:4" x14ac:dyDescent="0.25">
      <c r="D181" s="68"/>
    </row>
    <row r="182" spans="4:4" x14ac:dyDescent="0.25">
      <c r="D182" s="68"/>
    </row>
    <row r="183" spans="4:4" x14ac:dyDescent="0.25">
      <c r="D183" s="68"/>
    </row>
    <row r="184" spans="4:4" x14ac:dyDescent="0.25">
      <c r="D184" s="68"/>
    </row>
    <row r="185" spans="4:4" x14ac:dyDescent="0.25">
      <c r="D185" s="68"/>
    </row>
    <row r="186" spans="4:4" x14ac:dyDescent="0.25">
      <c r="D186" s="68"/>
    </row>
    <row r="187" spans="4:4" x14ac:dyDescent="0.25">
      <c r="D187" s="68"/>
    </row>
    <row r="188" spans="4:4" x14ac:dyDescent="0.25">
      <c r="D188" s="68"/>
    </row>
    <row r="189" spans="4:4" x14ac:dyDescent="0.25">
      <c r="D189" s="68"/>
    </row>
    <row r="190" spans="4:4" x14ac:dyDescent="0.25">
      <c r="D190" s="68"/>
    </row>
    <row r="191" spans="4:4" x14ac:dyDescent="0.25">
      <c r="D191" s="68"/>
    </row>
  </sheetData>
  <mergeCells count="53">
    <mergeCell ref="I150:J150"/>
    <mergeCell ref="I62:J62"/>
    <mergeCell ref="C37:G37"/>
    <mergeCell ref="C38:G38"/>
    <mergeCell ref="C39:G39"/>
    <mergeCell ref="C40:G40"/>
    <mergeCell ref="I106:J106"/>
    <mergeCell ref="B48:I49"/>
    <mergeCell ref="B34:B40"/>
    <mergeCell ref="C34:G34"/>
    <mergeCell ref="C35:G35"/>
    <mergeCell ref="C36:G36"/>
    <mergeCell ref="J55:K55"/>
    <mergeCell ref="A32:H32"/>
    <mergeCell ref="C33:G33"/>
    <mergeCell ref="C42:G42"/>
    <mergeCell ref="C43:G43"/>
    <mergeCell ref="A42:A43"/>
    <mergeCell ref="B42:B43"/>
    <mergeCell ref="A34:A40"/>
    <mergeCell ref="B24:E24"/>
    <mergeCell ref="A25:A30"/>
    <mergeCell ref="B25:B30"/>
    <mergeCell ref="C25:G25"/>
    <mergeCell ref="C26:G26"/>
    <mergeCell ref="C27:G27"/>
    <mergeCell ref="C28:G28"/>
    <mergeCell ref="C29:G29"/>
    <mergeCell ref="C30:G30"/>
    <mergeCell ref="A20:A23"/>
    <mergeCell ref="B20:B23"/>
    <mergeCell ref="C20:G20"/>
    <mergeCell ref="C21:G21"/>
    <mergeCell ref="C22:G22"/>
    <mergeCell ref="C23:G23"/>
    <mergeCell ref="I1:K1"/>
    <mergeCell ref="B7:C7"/>
    <mergeCell ref="B3:C3"/>
    <mergeCell ref="H3:I3"/>
    <mergeCell ref="B4:C4"/>
    <mergeCell ref="B5:C5"/>
    <mergeCell ref="B19:E19"/>
    <mergeCell ref="C14:G14"/>
    <mergeCell ref="A15:A18"/>
    <mergeCell ref="A9:B9"/>
    <mergeCell ref="C9:F9"/>
    <mergeCell ref="A10:B10"/>
    <mergeCell ref="C10:F10"/>
    <mergeCell ref="B15:B18"/>
    <mergeCell ref="C15:G15"/>
    <mergeCell ref="C16:G16"/>
    <mergeCell ref="C17:G17"/>
    <mergeCell ref="C18:G18"/>
  </mergeCells>
  <conditionalFormatting sqref="I1:I2 I56:I64 I66:I108 I110:I152 I154:I1048576 I44:I51 I4:I41">
    <cfRule type="containsText" dxfId="15" priority="6" operator="containsText" text="NO">
      <formula>NOT(ISERROR(SEARCH("NO",I1)))</formula>
    </cfRule>
  </conditionalFormatting>
  <conditionalFormatting sqref="I52:I54">
    <cfRule type="containsText" dxfId="14" priority="5" operator="containsText" text="NO">
      <formula>NOT(ISERROR(SEARCH("NO",I52)))</formula>
    </cfRule>
  </conditionalFormatting>
  <conditionalFormatting sqref="I43">
    <cfRule type="containsText" dxfId="13" priority="1" operator="containsText" text="NO">
      <formula>NOT(ISERROR(SEARCH("NO",I43)))</formula>
    </cfRule>
  </conditionalFormatting>
  <conditionalFormatting sqref="I42">
    <cfRule type="containsText" dxfId="12" priority="2" operator="containsText" text="NO">
      <formula>NOT(ISERROR(SEARCH("NO",I42)))</formula>
    </cfRule>
  </conditionalFormatting>
  <pageMargins left="0.70866141732283472" right="0.70866141732283472" top="0.74803149606299213" bottom="0.74803149606299213" header="0.31496062992125984" footer="0.31496062992125984"/>
  <pageSetup scale="62" orientation="portrait" r:id="rId1"/>
  <headerFooter>
    <oddFooter>&amp;RF.OLIVA</oddFooter>
  </headerFooter>
  <rowBreaks count="3" manualBreakCount="3">
    <brk id="57" max="10" man="1"/>
    <brk id="103" max="10" man="1"/>
    <brk id="146" max="10" man="1"/>
  </rowBreaks>
  <drawing r:id="rId2"/>
  <legacyDrawing r:id="rId3"/>
  <controls>
    <mc:AlternateContent xmlns:mc="http://schemas.openxmlformats.org/markup-compatibility/2006">
      <mc:Choice Requires="x14">
        <control shapeId="3073" r:id="rId4" name="CB1">
          <controlPr defaultSize="0" autoLine="0" r:id="rId5">
            <anchor moveWithCells="1">
              <from>
                <xdr:col>7</xdr:col>
                <xdr:colOff>85725</xdr:colOff>
                <xdr:row>4</xdr:row>
                <xdr:rowOff>85725</xdr:rowOff>
              </from>
              <to>
                <xdr:col>9</xdr:col>
                <xdr:colOff>142875</xdr:colOff>
                <xdr:row>5</xdr:row>
                <xdr:rowOff>466725</xdr:rowOff>
              </to>
            </anchor>
          </controlPr>
        </control>
      </mc:Choice>
      <mc:Fallback>
        <control shapeId="3073" r:id="rId4" name="CB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'C:\Users\oliva.francis\Desktop\2017\AUDITORIAS PERSONAL INTERNO\[CALIDAD DE LA INSTALACION 2017 V1..xlsx]LISTAS'!#REF!</xm:f>
          </x14:formula1>
          <xm:sqref>I24 I19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A1:J240"/>
  <sheetViews>
    <sheetView showGridLines="0" view="pageBreakPreview" zoomScale="85" zoomScaleNormal="100" zoomScaleSheetLayoutView="85" workbookViewId="0">
      <selection activeCell="B6" sqref="B6"/>
    </sheetView>
  </sheetViews>
  <sheetFormatPr baseColWidth="10" defaultColWidth="11.42578125" defaultRowHeight="12.75" x14ac:dyDescent="0.2"/>
  <cols>
    <col min="1" max="1" width="28.28515625" style="18" customWidth="1"/>
    <col min="2" max="2" width="27.85546875" style="84" bestFit="1" customWidth="1"/>
    <col min="3" max="3" width="14.7109375" style="84" customWidth="1"/>
    <col min="4" max="4" width="11.42578125" style="84" customWidth="1"/>
    <col min="5" max="16384" width="11.42578125" style="18"/>
  </cols>
  <sheetData>
    <row r="1" spans="1:9" ht="31.5" x14ac:dyDescent="0.5">
      <c r="A1" s="26"/>
      <c r="G1" s="213"/>
      <c r="H1" s="213"/>
      <c r="I1" s="213"/>
    </row>
    <row r="2" spans="1:9" ht="24" customHeight="1" x14ac:dyDescent="0.2">
      <c r="C2" s="111" t="s">
        <v>41</v>
      </c>
    </row>
    <row r="3" spans="1:9" x14ac:dyDescent="0.2">
      <c r="A3" s="4" t="s">
        <v>1</v>
      </c>
      <c r="B3" s="158" t="e">
        <f>VLOOKUP($B$6,ADSL!$A:$CG,5,0)</f>
        <v>#N/A</v>
      </c>
      <c r="C3" s="101"/>
      <c r="D3" s="97" t="e">
        <f>VLOOKUP($B$6,ADSL!$A:$CG,2,0)</f>
        <v>#N/A</v>
      </c>
    </row>
    <row r="4" spans="1:9" ht="15" x14ac:dyDescent="0.2">
      <c r="A4" s="4" t="s">
        <v>3</v>
      </c>
      <c r="B4" s="158" t="s">
        <v>42</v>
      </c>
      <c r="C4" s="9"/>
      <c r="D4" s="9"/>
    </row>
    <row r="5" spans="1:9" ht="15" x14ac:dyDescent="0.2">
      <c r="A5" s="7" t="s">
        <v>4</v>
      </c>
      <c r="B5" s="158" t="e">
        <f>VLOOKUP($B$6,ADSL!$A:$CG,6,0)</f>
        <v>#N/A</v>
      </c>
      <c r="C5" s="72"/>
      <c r="D5" s="72"/>
    </row>
    <row r="6" spans="1:9" ht="42" customHeight="1" x14ac:dyDescent="0.2">
      <c r="A6" s="7" t="s">
        <v>43</v>
      </c>
      <c r="B6" s="159"/>
      <c r="C6" s="112"/>
      <c r="D6" s="9"/>
    </row>
    <row r="7" spans="1:9" ht="15" x14ac:dyDescent="0.2">
      <c r="A7" s="4" t="s">
        <v>6</v>
      </c>
      <c r="B7" s="158" t="e">
        <f>VLOOKUP($B$6,ADSL!$A:$CG,7,0)</f>
        <v>#N/A</v>
      </c>
      <c r="C7" s="72"/>
      <c r="D7" s="9"/>
    </row>
    <row r="8" spans="1:9" ht="15" x14ac:dyDescent="0.2">
      <c r="A8" s="4" t="s">
        <v>5</v>
      </c>
      <c r="B8" s="158"/>
      <c r="C8" s="9"/>
      <c r="D8" s="9"/>
    </row>
    <row r="9" spans="1:9" ht="15" x14ac:dyDescent="0.2">
      <c r="A9" s="4" t="s">
        <v>44</v>
      </c>
      <c r="B9" s="158" t="s">
        <v>88</v>
      </c>
      <c r="C9" s="9"/>
    </row>
    <row r="10" spans="1:9" ht="15" x14ac:dyDescent="0.2">
      <c r="A10" s="9"/>
      <c r="B10" s="9"/>
      <c r="C10" s="10"/>
      <c r="D10" s="10"/>
    </row>
    <row r="11" spans="1:9" x14ac:dyDescent="0.2">
      <c r="A11" s="28" t="s">
        <v>7</v>
      </c>
      <c r="B11" s="96" t="e">
        <f>VLOOKUP($B$6,ADSL!$A:$CG,8,0)</f>
        <v>#N/A</v>
      </c>
      <c r="C11" s="81"/>
      <c r="D11" s="10"/>
    </row>
    <row r="12" spans="1:9" x14ac:dyDescent="0.2">
      <c r="A12" s="29" t="s">
        <v>9</v>
      </c>
      <c r="B12" s="96" t="e">
        <f>VLOOKUP($B$6,ADSL!$A:$CG,9,0)</f>
        <v>#N/A</v>
      </c>
      <c r="C12" s="81"/>
      <c r="D12" s="10"/>
    </row>
    <row r="13" spans="1:9" x14ac:dyDescent="0.2">
      <c r="A13" s="30"/>
      <c r="B13" s="31"/>
    </row>
    <row r="14" spans="1:9" x14ac:dyDescent="0.2">
      <c r="A14" s="31"/>
      <c r="B14" s="31"/>
    </row>
    <row r="15" spans="1:9" x14ac:dyDescent="0.2">
      <c r="A15" s="32" t="s">
        <v>45</v>
      </c>
      <c r="B15" s="33" t="s">
        <v>11</v>
      </c>
      <c r="C15" s="34" t="s">
        <v>46</v>
      </c>
      <c r="D15" s="34" t="s">
        <v>47</v>
      </c>
    </row>
    <row r="16" spans="1:9" ht="15" x14ac:dyDescent="0.2">
      <c r="A16" s="35" t="s">
        <v>48</v>
      </c>
      <c r="B16" s="102">
        <v>10</v>
      </c>
      <c r="C16" s="83" t="e">
        <f>VLOOKUP($B$6,ADSL!$A:$CG,43,0)</f>
        <v>#N/A</v>
      </c>
      <c r="D16" s="55" t="e">
        <f>IF(C16="si",10,IF(C16="no",0,IF(C16="n/a",10)))</f>
        <v>#N/A</v>
      </c>
    </row>
    <row r="17" spans="1:4" ht="15" x14ac:dyDescent="0.2">
      <c r="A17" s="35" t="s">
        <v>49</v>
      </c>
      <c r="B17" s="103">
        <v>10</v>
      </c>
      <c r="C17" s="83" t="e">
        <f>VLOOKUP($B$6,ADSL!$A:$CG,44,0)</f>
        <v>#N/A</v>
      </c>
      <c r="D17" s="55" t="e">
        <f>IF(C17="si",10,IF(C17="no",0,IF(C17="n/a",10)))</f>
        <v>#N/A</v>
      </c>
    </row>
    <row r="18" spans="1:4" ht="15" x14ac:dyDescent="0.2">
      <c r="A18" s="35" t="s">
        <v>50</v>
      </c>
      <c r="B18" s="103">
        <v>15</v>
      </c>
      <c r="C18" s="83" t="e">
        <f>VLOOKUP($B$6,ADSL!$A:$CG,45,0)</f>
        <v>#N/A</v>
      </c>
      <c r="D18" s="55" t="e">
        <f>IF(C18="si",15,IF(C18="no",0,IF(C18="n/a",15)))</f>
        <v>#N/A</v>
      </c>
    </row>
    <row r="19" spans="1:4" ht="15" x14ac:dyDescent="0.2">
      <c r="A19" s="35" t="s">
        <v>51</v>
      </c>
      <c r="B19" s="103">
        <v>15</v>
      </c>
      <c r="C19" s="83" t="e">
        <f>VLOOKUP($B$6,ADSL!$A:$CG,46,0)</f>
        <v>#N/A</v>
      </c>
      <c r="D19" s="55" t="e">
        <f>IF(C19="si",15,IF(C19="no",0,IF(C19="n/a",15)))</f>
        <v>#N/A</v>
      </c>
    </row>
    <row r="20" spans="1:4" ht="15" x14ac:dyDescent="0.2">
      <c r="A20" s="35" t="s">
        <v>52</v>
      </c>
      <c r="B20" s="103">
        <v>5</v>
      </c>
      <c r="C20" s="83" t="e">
        <f>VLOOKUP($B$6,ADSL!$A:$CG,47,0)</f>
        <v>#N/A</v>
      </c>
      <c r="D20" s="55" t="e">
        <f>IF(C20="si",5,IF(C20="no",0,IF(C20="n/a",5)))</f>
        <v>#N/A</v>
      </c>
    </row>
    <row r="21" spans="1:4" ht="15" x14ac:dyDescent="0.2">
      <c r="A21" s="36" t="s">
        <v>53</v>
      </c>
      <c r="B21" s="104">
        <v>10</v>
      </c>
      <c r="C21" s="83" t="e">
        <f>VLOOKUP($B$6,ADSL!$A:$CG,48,0)</f>
        <v>#N/A</v>
      </c>
      <c r="D21" s="55" t="e">
        <f>IF(C21="si",10,IF(C21="no",0,IF(C21="n/a",10)))</f>
        <v>#N/A</v>
      </c>
    </row>
    <row r="22" spans="1:4" ht="15" x14ac:dyDescent="0.2">
      <c r="A22" s="37" t="s">
        <v>54</v>
      </c>
      <c r="B22" s="105">
        <v>5</v>
      </c>
      <c r="C22" s="83" t="e">
        <f>VLOOKUP($B$6,ADSL!$A:$CG,49,0)</f>
        <v>#N/A</v>
      </c>
      <c r="D22" s="55" t="e">
        <f>IF(C22="si",5,IF(C22="no",0,IF(C22="n/a",5)))</f>
        <v>#N/A</v>
      </c>
    </row>
    <row r="23" spans="1:4" ht="15" x14ac:dyDescent="0.2">
      <c r="A23" s="37" t="s">
        <v>55</v>
      </c>
      <c r="B23" s="105">
        <v>10</v>
      </c>
      <c r="C23" s="83" t="e">
        <f>VLOOKUP($B$6,ADSL!$A:$CG,50,0)</f>
        <v>#N/A</v>
      </c>
      <c r="D23" s="55" t="e">
        <f>IF(C23="si",10,IF(C23="no",0,IF(C23="n/a",10)))</f>
        <v>#N/A</v>
      </c>
    </row>
    <row r="24" spans="1:4" ht="15" x14ac:dyDescent="0.2">
      <c r="A24" s="37" t="s">
        <v>56</v>
      </c>
      <c r="B24" s="105">
        <v>5</v>
      </c>
      <c r="C24" s="83" t="e">
        <f>VLOOKUP($B$6,ADSL!$A:$CG,51,0)</f>
        <v>#N/A</v>
      </c>
      <c r="D24" s="55" t="e">
        <f>IF(C24="si",5,IF(C24="no",0,IF(C24="n/a",5)))</f>
        <v>#N/A</v>
      </c>
    </row>
    <row r="25" spans="1:4" ht="15" x14ac:dyDescent="0.2">
      <c r="A25" s="38" t="s">
        <v>57</v>
      </c>
      <c r="B25" s="105">
        <v>5</v>
      </c>
      <c r="C25" s="83" t="e">
        <f>VLOOKUP($B$6,ADSL!$A:$CG,52,0)</f>
        <v>#N/A</v>
      </c>
      <c r="D25" s="55" t="e">
        <f>IF(C25="si",5,IF(C25="no",0,IF(C25="n/a",5)))</f>
        <v>#N/A</v>
      </c>
    </row>
    <row r="26" spans="1:4" ht="15" x14ac:dyDescent="0.2">
      <c r="A26" s="35" t="s">
        <v>58</v>
      </c>
      <c r="B26" s="103">
        <v>10</v>
      </c>
      <c r="C26" s="83" t="e">
        <f>VLOOKUP($B$6,ADSL!$A:$CG,53,0)</f>
        <v>#N/A</v>
      </c>
      <c r="D26" s="55" t="e">
        <f>IF(C26="si",10,IF(C26="no",0,IF(C26="n/a",10)))</f>
        <v>#N/A</v>
      </c>
    </row>
    <row r="27" spans="1:4" ht="15.75" x14ac:dyDescent="0.2">
      <c r="A27" s="39" t="s">
        <v>59</v>
      </c>
      <c r="B27" s="106">
        <f>SUM(B16:B26)</f>
        <v>100</v>
      </c>
      <c r="D27" s="85" t="e">
        <f>SUM(D16:D26)</f>
        <v>#N/A</v>
      </c>
    </row>
    <row r="28" spans="1:4" ht="13.5" thickBot="1" x14ac:dyDescent="0.25">
      <c r="A28" s="40"/>
      <c r="B28" s="113"/>
    </row>
    <row r="29" spans="1:4" x14ac:dyDescent="0.2">
      <c r="A29" s="260" t="s">
        <v>60</v>
      </c>
      <c r="B29" s="263"/>
    </row>
    <row r="30" spans="1:4" x14ac:dyDescent="0.2">
      <c r="A30" s="261"/>
      <c r="B30" s="264"/>
    </row>
    <row r="31" spans="1:4" ht="13.5" thickBot="1" x14ac:dyDescent="0.25">
      <c r="A31" s="262"/>
      <c r="B31" s="265"/>
    </row>
    <row r="32" spans="1:4" x14ac:dyDescent="0.2">
      <c r="A32" s="41"/>
      <c r="B32" s="114"/>
    </row>
    <row r="33" spans="1:4" x14ac:dyDescent="0.2">
      <c r="A33" s="266" t="s">
        <v>61</v>
      </c>
      <c r="B33" s="267"/>
      <c r="C33" s="267"/>
      <c r="D33" s="268"/>
    </row>
    <row r="34" spans="1:4" x14ac:dyDescent="0.2">
      <c r="A34" s="269"/>
      <c r="B34" s="270"/>
      <c r="C34" s="270"/>
      <c r="D34" s="271"/>
    </row>
    <row r="35" spans="1:4" x14ac:dyDescent="0.2">
      <c r="A35" s="272"/>
      <c r="B35" s="273"/>
      <c r="C35" s="273"/>
      <c r="D35" s="274"/>
    </row>
    <row r="36" spans="1:4" x14ac:dyDescent="0.2">
      <c r="A36" s="42"/>
    </row>
    <row r="37" spans="1:4" x14ac:dyDescent="0.2">
      <c r="A37" s="31"/>
      <c r="B37" s="31"/>
    </row>
    <row r="38" spans="1:4" x14ac:dyDescent="0.2">
      <c r="A38" s="43"/>
      <c r="B38" s="43"/>
      <c r="C38" s="115"/>
      <c r="D38" s="115"/>
    </row>
    <row r="39" spans="1:4" x14ac:dyDescent="0.2">
      <c r="A39" s="44" t="s">
        <v>62</v>
      </c>
      <c r="B39" s="107" t="s">
        <v>63</v>
      </c>
    </row>
    <row r="40" spans="1:4" x14ac:dyDescent="0.2">
      <c r="A40" s="31"/>
      <c r="B40" s="31"/>
    </row>
    <row r="41" spans="1:4" x14ac:dyDescent="0.2">
      <c r="A41" s="45" t="s">
        <v>64</v>
      </c>
      <c r="B41" s="33" t="s">
        <v>11</v>
      </c>
      <c r="C41" s="34" t="s">
        <v>46</v>
      </c>
      <c r="D41" s="34" t="s">
        <v>47</v>
      </c>
    </row>
    <row r="42" spans="1:4" ht="15" x14ac:dyDescent="0.2">
      <c r="A42" s="35" t="s">
        <v>65</v>
      </c>
      <c r="B42" s="102">
        <v>20</v>
      </c>
      <c r="C42" s="83" t="e">
        <f>VLOOKUP($B$6,ADSL!$A:$CG,54,0)</f>
        <v>#N/A</v>
      </c>
      <c r="D42" s="55" t="e">
        <f>IF(C42="si",20,IF(C42="no",0,IF(C42="n/a",20)))</f>
        <v>#N/A</v>
      </c>
    </row>
    <row r="43" spans="1:4" ht="15" x14ac:dyDescent="0.2">
      <c r="A43" s="35" t="s">
        <v>66</v>
      </c>
      <c r="B43" s="103">
        <v>20</v>
      </c>
      <c r="C43" s="83" t="e">
        <f>VLOOKUP($B$6,ADSL!$A:$CG,55,0)</f>
        <v>#N/A</v>
      </c>
      <c r="D43" s="55" t="e">
        <f>IF(C43="si",20,IF(C43="no",0,IF(C43="n/a",20)))</f>
        <v>#N/A</v>
      </c>
    </row>
    <row r="44" spans="1:4" ht="15" x14ac:dyDescent="0.2">
      <c r="A44" s="35" t="s">
        <v>67</v>
      </c>
      <c r="B44" s="103">
        <v>20</v>
      </c>
      <c r="C44" s="83" t="e">
        <f>VLOOKUP($B$6,ADSL!$A:$CG,56,0)</f>
        <v>#N/A</v>
      </c>
      <c r="D44" s="55" t="e">
        <f>IF(C44="si",20,IF(C44="no",0,IF(C44="n/a",20)))</f>
        <v>#N/A</v>
      </c>
    </row>
    <row r="45" spans="1:4" ht="15" x14ac:dyDescent="0.2">
      <c r="A45" s="35" t="s">
        <v>68</v>
      </c>
      <c r="B45" s="103">
        <v>20</v>
      </c>
      <c r="C45" s="83" t="e">
        <f>VLOOKUP($B$6,ADSL!$A:$CG,57,0)</f>
        <v>#N/A</v>
      </c>
      <c r="D45" s="55" t="e">
        <f>IF(C45="si",20,IF(C45="no",0,IF(C45="n/a",20)))</f>
        <v>#N/A</v>
      </c>
    </row>
    <row r="46" spans="1:4" ht="15" x14ac:dyDescent="0.2">
      <c r="A46" s="35" t="s">
        <v>69</v>
      </c>
      <c r="B46" s="103">
        <v>5</v>
      </c>
      <c r="C46" s="83" t="e">
        <f>VLOOKUP($B$6,ADSL!$A:$CG,58,0)</f>
        <v>#N/A</v>
      </c>
      <c r="D46" s="55" t="e">
        <f>IF(C46="si",5,IF(C46="no",0,IF(C46="n/a",5)))</f>
        <v>#N/A</v>
      </c>
    </row>
    <row r="47" spans="1:4" ht="15" x14ac:dyDescent="0.2">
      <c r="A47" s="35" t="s">
        <v>70</v>
      </c>
      <c r="B47" s="103">
        <v>15</v>
      </c>
      <c r="C47" s="83" t="e">
        <f>VLOOKUP($B$6,ADSL!$A:$CG,59,0)</f>
        <v>#N/A</v>
      </c>
      <c r="D47" s="55" t="e">
        <f>IF(C47="si",15,IF(C47="no",0,IF(C47="n/a",15)))</f>
        <v>#N/A</v>
      </c>
    </row>
    <row r="48" spans="1:4" ht="15.75" x14ac:dyDescent="0.2">
      <c r="A48" s="39" t="s">
        <v>59</v>
      </c>
      <c r="B48" s="108">
        <f>SUM(B42:B47)</f>
        <v>100</v>
      </c>
      <c r="C48" s="86"/>
      <c r="D48" s="87" t="e">
        <f>SUM(D42:D47)</f>
        <v>#N/A</v>
      </c>
    </row>
    <row r="49" spans="1:4" ht="13.5" thickBot="1" x14ac:dyDescent="0.25">
      <c r="A49" s="40"/>
      <c r="B49" s="113"/>
    </row>
    <row r="50" spans="1:4" x14ac:dyDescent="0.2">
      <c r="A50" s="260" t="s">
        <v>71</v>
      </c>
      <c r="B50" s="263"/>
    </row>
    <row r="51" spans="1:4" x14ac:dyDescent="0.2">
      <c r="A51" s="261"/>
      <c r="B51" s="264"/>
    </row>
    <row r="52" spans="1:4" ht="13.5" thickBot="1" x14ac:dyDescent="0.25">
      <c r="A52" s="262"/>
      <c r="B52" s="265"/>
    </row>
    <row r="53" spans="1:4" x14ac:dyDescent="0.2">
      <c r="A53" s="40"/>
      <c r="B53" s="113"/>
    </row>
    <row r="54" spans="1:4" x14ac:dyDescent="0.2">
      <c r="A54" s="138" t="s">
        <v>61</v>
      </c>
      <c r="B54" s="139"/>
      <c r="C54" s="139"/>
      <c r="D54" s="140"/>
    </row>
    <row r="55" spans="1:4" ht="15" customHeight="1" x14ac:dyDescent="0.2">
      <c r="A55" s="257" t="e">
        <f>VLOOKUP($B$6,ADSL!$A:$CG,70,0)</f>
        <v>#N/A</v>
      </c>
      <c r="B55" s="258" t="e">
        <f>VLOOKUP($B$6,ADSL!$A:$CG,52,0)</f>
        <v>#N/A</v>
      </c>
      <c r="C55" s="258" t="e">
        <f>VLOOKUP($B$6,ADSL!$A:$CG,52,0)</f>
        <v>#N/A</v>
      </c>
      <c r="D55" s="259" t="e">
        <f>VLOOKUP($B$6,ADSL!$A:$CG,52,0)</f>
        <v>#N/A</v>
      </c>
    </row>
    <row r="56" spans="1:4" x14ac:dyDescent="0.2">
      <c r="A56" s="141"/>
      <c r="B56" s="142"/>
      <c r="C56" s="142"/>
      <c r="D56" s="143"/>
    </row>
    <row r="57" spans="1:4" x14ac:dyDescent="0.2">
      <c r="A57" s="42"/>
    </row>
    <row r="58" spans="1:4" x14ac:dyDescent="0.2">
      <c r="A58" s="46"/>
      <c r="B58" s="46"/>
      <c r="C58" s="116"/>
      <c r="D58" s="116"/>
    </row>
    <row r="59" spans="1:4" x14ac:dyDescent="0.2">
      <c r="A59" s="47"/>
      <c r="B59" s="109"/>
      <c r="C59" s="86"/>
      <c r="D59" s="86"/>
    </row>
    <row r="60" spans="1:4" x14ac:dyDescent="0.2">
      <c r="A60" s="44" t="s">
        <v>62</v>
      </c>
      <c r="B60" s="107" t="s">
        <v>63</v>
      </c>
      <c r="C60" s="86"/>
      <c r="D60" s="86"/>
    </row>
    <row r="61" spans="1:4" x14ac:dyDescent="0.2">
      <c r="A61" s="47"/>
      <c r="B61" s="109"/>
      <c r="C61" s="86"/>
      <c r="D61" s="86"/>
    </row>
    <row r="62" spans="1:4" ht="15" x14ac:dyDescent="0.2">
      <c r="A62" s="45" t="s">
        <v>72</v>
      </c>
      <c r="B62" s="33" t="s">
        <v>11</v>
      </c>
      <c r="C62" s="45" t="s">
        <v>46</v>
      </c>
      <c r="D62" s="72"/>
    </row>
    <row r="63" spans="1:4" ht="15" x14ac:dyDescent="0.2">
      <c r="A63" s="48" t="s">
        <v>73</v>
      </c>
      <c r="B63" s="110">
        <v>15</v>
      </c>
      <c r="C63" s="14"/>
      <c r="D63" s="72"/>
    </row>
    <row r="64" spans="1:4" ht="15" x14ac:dyDescent="0.2">
      <c r="A64" s="49" t="s">
        <v>74</v>
      </c>
      <c r="B64" s="117">
        <v>15</v>
      </c>
      <c r="C64" s="14"/>
      <c r="D64" s="72"/>
    </row>
    <row r="65" spans="1:4" ht="15" x14ac:dyDescent="0.2">
      <c r="A65" s="49" t="s">
        <v>75</v>
      </c>
      <c r="B65" s="117">
        <v>10</v>
      </c>
      <c r="C65" s="14"/>
      <c r="D65" s="72"/>
    </row>
    <row r="66" spans="1:4" ht="15" x14ac:dyDescent="0.2">
      <c r="A66" s="49" t="s">
        <v>76</v>
      </c>
      <c r="B66" s="117">
        <v>10</v>
      </c>
      <c r="C66" s="14"/>
      <c r="D66" s="72"/>
    </row>
    <row r="67" spans="1:4" ht="15" x14ac:dyDescent="0.2">
      <c r="A67" s="49" t="s">
        <v>77</v>
      </c>
      <c r="B67" s="117">
        <v>10</v>
      </c>
      <c r="C67" s="14"/>
      <c r="D67" s="72"/>
    </row>
    <row r="68" spans="1:4" ht="15" x14ac:dyDescent="0.2">
      <c r="A68" s="49" t="s">
        <v>78</v>
      </c>
      <c r="B68" s="117">
        <v>10</v>
      </c>
      <c r="C68" s="14"/>
      <c r="D68" s="72"/>
    </row>
    <row r="69" spans="1:4" ht="15" x14ac:dyDescent="0.2">
      <c r="A69" s="49" t="s">
        <v>79</v>
      </c>
      <c r="B69" s="117">
        <v>10</v>
      </c>
      <c r="C69" s="14"/>
      <c r="D69" s="72"/>
    </row>
    <row r="70" spans="1:4" ht="15" x14ac:dyDescent="0.2">
      <c r="A70" s="49" t="s">
        <v>80</v>
      </c>
      <c r="B70" s="118">
        <v>10</v>
      </c>
      <c r="C70" s="14"/>
      <c r="D70" s="72"/>
    </row>
    <row r="71" spans="1:4" ht="15" x14ac:dyDescent="0.2">
      <c r="A71" s="49" t="s">
        <v>81</v>
      </c>
      <c r="B71" s="119">
        <v>10</v>
      </c>
      <c r="C71" s="14"/>
      <c r="D71" s="72"/>
    </row>
    <row r="72" spans="1:4" ht="15" x14ac:dyDescent="0.2">
      <c r="A72" s="49" t="s">
        <v>82</v>
      </c>
      <c r="B72" s="276"/>
      <c r="C72" s="277"/>
      <c r="D72" s="72"/>
    </row>
    <row r="73" spans="1:4" x14ac:dyDescent="0.2">
      <c r="A73" s="39" t="s">
        <v>59</v>
      </c>
      <c r="B73" s="108">
        <f>SUM(B63:B71)</f>
        <v>100</v>
      </c>
    </row>
    <row r="74" spans="1:4" ht="13.5" thickBot="1" x14ac:dyDescent="0.25">
      <c r="A74" s="40"/>
      <c r="B74" s="113"/>
    </row>
    <row r="75" spans="1:4" x14ac:dyDescent="0.2">
      <c r="A75" s="260" t="s">
        <v>83</v>
      </c>
      <c r="B75" s="263"/>
    </row>
    <row r="76" spans="1:4" x14ac:dyDescent="0.2">
      <c r="A76" s="261"/>
      <c r="B76" s="264"/>
    </row>
    <row r="77" spans="1:4" ht="13.5" thickBot="1" x14ac:dyDescent="0.25">
      <c r="A77" s="262"/>
      <c r="B77" s="265"/>
    </row>
    <row r="78" spans="1:4" x14ac:dyDescent="0.2">
      <c r="A78" s="40"/>
      <c r="B78" s="113"/>
    </row>
    <row r="79" spans="1:4" x14ac:dyDescent="0.2">
      <c r="A79" s="266" t="s">
        <v>61</v>
      </c>
      <c r="B79" s="267"/>
      <c r="C79" s="267"/>
      <c r="D79" s="268"/>
    </row>
    <row r="80" spans="1:4" x14ac:dyDescent="0.2">
      <c r="A80" s="269"/>
      <c r="B80" s="270"/>
      <c r="C80" s="270"/>
      <c r="D80" s="271"/>
    </row>
    <row r="81" spans="1:9" x14ac:dyDescent="0.2">
      <c r="A81" s="272"/>
      <c r="B81" s="273"/>
      <c r="C81" s="273"/>
      <c r="D81" s="274"/>
    </row>
    <row r="82" spans="1:9" x14ac:dyDescent="0.2">
      <c r="A82" s="42"/>
    </row>
    <row r="83" spans="1:9" x14ac:dyDescent="0.2">
      <c r="A83" s="46"/>
      <c r="B83" s="46"/>
      <c r="C83" s="116"/>
      <c r="D83" s="116"/>
    </row>
    <row r="84" spans="1:9" x14ac:dyDescent="0.2">
      <c r="A84" s="42"/>
    </row>
    <row r="85" spans="1:9" x14ac:dyDescent="0.2">
      <c r="A85" s="45" t="s">
        <v>84</v>
      </c>
      <c r="B85" s="33" t="s">
        <v>11</v>
      </c>
      <c r="C85" s="34" t="s">
        <v>46</v>
      </c>
    </row>
    <row r="86" spans="1:9" ht="15" x14ac:dyDescent="0.2">
      <c r="A86" s="48" t="s">
        <v>85</v>
      </c>
      <c r="B86" s="110" t="e">
        <f>VLOOKUP($B$6,ADSL!$A:$CG,60,0)</f>
        <v>#N/A</v>
      </c>
      <c r="C86" s="55" t="e">
        <f>IF(B86="si",100,IF(B86="no",0,IF(B86="n/a",0)))</f>
        <v>#N/A</v>
      </c>
    </row>
    <row r="87" spans="1:9" x14ac:dyDescent="0.2">
      <c r="A87" s="42"/>
    </row>
    <row r="88" spans="1:9" x14ac:dyDescent="0.2">
      <c r="A88" s="138" t="s">
        <v>61</v>
      </c>
      <c r="B88" s="278"/>
      <c r="C88" s="278"/>
      <c r="D88" s="279"/>
    </row>
    <row r="89" spans="1:9" x14ac:dyDescent="0.2">
      <c r="A89" s="165"/>
      <c r="B89" s="258"/>
      <c r="C89" s="258"/>
      <c r="D89" s="259"/>
    </row>
    <row r="90" spans="1:9" x14ac:dyDescent="0.2">
      <c r="A90" s="141"/>
      <c r="B90" s="280"/>
      <c r="C90" s="280"/>
      <c r="D90" s="281"/>
    </row>
    <row r="92" spans="1:9" x14ac:dyDescent="0.2">
      <c r="A92" s="50"/>
      <c r="B92" s="120"/>
      <c r="C92" s="121"/>
      <c r="F92" s="121"/>
    </row>
    <row r="93" spans="1:9" ht="15" x14ac:dyDescent="0.25">
      <c r="A93" s="145" t="s">
        <v>39</v>
      </c>
      <c r="B93" s="22" t="s">
        <v>140</v>
      </c>
      <c r="D93" s="22" t="s">
        <v>141</v>
      </c>
      <c r="G93"/>
      <c r="H93" s="22" t="s">
        <v>142</v>
      </c>
      <c r="I93" s="72"/>
    </row>
    <row r="94" spans="1:9" ht="15" x14ac:dyDescent="0.25">
      <c r="A94" s="23"/>
      <c r="B94" s="24"/>
      <c r="D94"/>
      <c r="G94"/>
      <c r="H94" s="72"/>
      <c r="I94" s="72"/>
    </row>
    <row r="95" spans="1:9" ht="15" x14ac:dyDescent="0.25">
      <c r="A95" s="146" t="s">
        <v>145</v>
      </c>
      <c r="B95" s="147" t="s">
        <v>143</v>
      </c>
      <c r="D95" s="148" t="s">
        <v>40</v>
      </c>
      <c r="E95" s="25"/>
      <c r="G95"/>
      <c r="H95" s="148" t="s">
        <v>40</v>
      </c>
      <c r="I95" s="72"/>
    </row>
    <row r="98" spans="2:8" ht="31.5" x14ac:dyDescent="0.5">
      <c r="G98" s="275"/>
      <c r="H98" s="275"/>
    </row>
    <row r="102" spans="2:8" ht="15" x14ac:dyDescent="0.25">
      <c r="B102" t="e">
        <f>VLOOKUP($B$6,ADSL!$A:$CG,61,0)</f>
        <v>#N/A</v>
      </c>
      <c r="G102" s="157" t="e">
        <f>HYPERLINK(B102,"Abrir Imagen")</f>
        <v>#N/A</v>
      </c>
    </row>
    <row r="153" spans="2:9" customFormat="1" ht="15" x14ac:dyDescent="0.25">
      <c r="C153" s="67"/>
      <c r="G153" s="72"/>
      <c r="H153" s="72"/>
      <c r="I153" s="72"/>
    </row>
    <row r="154" spans="2:9" customFormat="1" ht="15" x14ac:dyDescent="0.25">
      <c r="C154" s="67"/>
      <c r="G154" s="72"/>
      <c r="H154" s="72"/>
      <c r="I154" s="72"/>
    </row>
    <row r="155" spans="2:9" customFormat="1" ht="31.5" x14ac:dyDescent="0.25">
      <c r="C155" s="67"/>
      <c r="G155" s="72"/>
      <c r="H155" s="239"/>
      <c r="I155" s="239"/>
    </row>
    <row r="156" spans="2:9" customFormat="1" ht="15" x14ac:dyDescent="0.25">
      <c r="C156" s="67"/>
      <c r="G156" s="72"/>
      <c r="H156" s="72"/>
      <c r="I156" s="72"/>
    </row>
    <row r="157" spans="2:9" customFormat="1" ht="15" x14ac:dyDescent="0.25">
      <c r="C157" s="67"/>
      <c r="G157" s="72"/>
      <c r="H157" s="72"/>
      <c r="I157" s="72"/>
    </row>
    <row r="158" spans="2:9" customFormat="1" ht="15" x14ac:dyDescent="0.25">
      <c r="C158" s="67"/>
      <c r="G158" s="72"/>
      <c r="I158" s="72"/>
    </row>
    <row r="159" spans="2:9" customFormat="1" ht="15" x14ac:dyDescent="0.25">
      <c r="C159" s="67"/>
      <c r="G159" s="72"/>
      <c r="H159" s="72"/>
      <c r="I159" s="72"/>
    </row>
    <row r="160" spans="2:9" customFormat="1" ht="15" x14ac:dyDescent="0.25">
      <c r="B160" s="162" t="e">
        <f>VLOOKUP($B$6,ADSL!$A:$CG,62,0)</f>
        <v>#N/A</v>
      </c>
      <c r="C160" s="67"/>
      <c r="G160" s="72"/>
      <c r="H160" s="157" t="e">
        <f>HYPERLINK(B160,"Abrir Imagen")</f>
        <v>#N/A</v>
      </c>
      <c r="I160" s="72"/>
    </row>
    <row r="161" spans="3:9" customFormat="1" ht="15" x14ac:dyDescent="0.25">
      <c r="C161" s="68"/>
      <c r="G161" s="72"/>
      <c r="H161" s="72"/>
      <c r="I161" s="72"/>
    </row>
    <row r="162" spans="3:9" customFormat="1" ht="15" x14ac:dyDescent="0.25">
      <c r="C162" s="68"/>
      <c r="G162" s="72"/>
      <c r="H162" s="72"/>
      <c r="I162" s="72"/>
    </row>
    <row r="163" spans="3:9" customFormat="1" ht="15" x14ac:dyDescent="0.25">
      <c r="C163" s="68"/>
      <c r="G163" s="72"/>
      <c r="H163" s="72"/>
      <c r="I163" s="72"/>
    </row>
    <row r="164" spans="3:9" customFormat="1" ht="15" x14ac:dyDescent="0.25">
      <c r="C164" s="68"/>
      <c r="G164" s="72"/>
      <c r="H164" s="72"/>
      <c r="I164" s="72"/>
    </row>
    <row r="165" spans="3:9" customFormat="1" ht="15" x14ac:dyDescent="0.25">
      <c r="C165" s="68"/>
      <c r="G165" s="72"/>
      <c r="H165" s="72"/>
      <c r="I165" s="72"/>
    </row>
    <row r="166" spans="3:9" customFormat="1" ht="15" x14ac:dyDescent="0.25">
      <c r="C166" s="68"/>
      <c r="G166" s="72"/>
      <c r="H166" s="72"/>
      <c r="I166" s="72"/>
    </row>
    <row r="167" spans="3:9" customFormat="1" ht="15" x14ac:dyDescent="0.25">
      <c r="C167" s="68"/>
      <c r="G167" s="72"/>
      <c r="H167" s="72"/>
      <c r="I167" s="72"/>
    </row>
    <row r="168" spans="3:9" customFormat="1" ht="15" x14ac:dyDescent="0.25">
      <c r="C168" s="68"/>
      <c r="G168" s="72"/>
      <c r="H168" s="72"/>
      <c r="I168" s="72"/>
    </row>
    <row r="169" spans="3:9" customFormat="1" ht="15" x14ac:dyDescent="0.25">
      <c r="C169" s="68"/>
      <c r="G169" s="72"/>
      <c r="H169" s="72"/>
      <c r="I169" s="72"/>
    </row>
    <row r="170" spans="3:9" customFormat="1" ht="15" x14ac:dyDescent="0.25">
      <c r="C170" s="68"/>
      <c r="G170" s="72"/>
      <c r="H170" s="72"/>
      <c r="I170" s="72"/>
    </row>
    <row r="171" spans="3:9" customFormat="1" ht="15" x14ac:dyDescent="0.25">
      <c r="C171" s="68"/>
      <c r="G171" s="72"/>
      <c r="H171" s="72"/>
      <c r="I171" s="72"/>
    </row>
    <row r="172" spans="3:9" customFormat="1" ht="15" x14ac:dyDescent="0.25">
      <c r="C172" s="68"/>
      <c r="G172" s="72"/>
      <c r="H172" s="72"/>
      <c r="I172" s="72"/>
    </row>
    <row r="173" spans="3:9" customFormat="1" ht="15" x14ac:dyDescent="0.25">
      <c r="C173" s="68"/>
      <c r="G173" s="72"/>
      <c r="H173" s="72"/>
      <c r="I173" s="72"/>
    </row>
    <row r="174" spans="3:9" customFormat="1" ht="15" x14ac:dyDescent="0.25">
      <c r="C174" s="68"/>
      <c r="G174" s="72"/>
      <c r="H174" s="72"/>
      <c r="I174" s="72"/>
    </row>
    <row r="175" spans="3:9" customFormat="1" ht="15" x14ac:dyDescent="0.25">
      <c r="C175" s="68"/>
      <c r="G175" s="72"/>
      <c r="H175" s="72"/>
      <c r="I175" s="72"/>
    </row>
    <row r="176" spans="3:9" customFormat="1" ht="15" x14ac:dyDescent="0.25">
      <c r="C176" s="68"/>
      <c r="G176" s="72"/>
      <c r="H176" s="72"/>
      <c r="I176" s="72"/>
    </row>
    <row r="177" spans="3:9" customFormat="1" ht="15" x14ac:dyDescent="0.25">
      <c r="C177" s="68"/>
      <c r="G177" s="72"/>
      <c r="H177" s="72"/>
      <c r="I177" s="72"/>
    </row>
    <row r="178" spans="3:9" customFormat="1" ht="15" x14ac:dyDescent="0.25">
      <c r="C178" s="68"/>
      <c r="G178" s="72"/>
      <c r="H178" s="72"/>
      <c r="I178" s="72"/>
    </row>
    <row r="179" spans="3:9" customFormat="1" ht="15" x14ac:dyDescent="0.25">
      <c r="C179" s="68"/>
      <c r="G179" s="72"/>
      <c r="H179" s="72"/>
      <c r="I179" s="72"/>
    </row>
    <row r="180" spans="3:9" customFormat="1" ht="15" x14ac:dyDescent="0.25">
      <c r="C180" s="68"/>
      <c r="G180" s="72"/>
      <c r="H180" s="72"/>
      <c r="I180" s="72"/>
    </row>
    <row r="181" spans="3:9" customFormat="1" ht="15" x14ac:dyDescent="0.25">
      <c r="C181" s="68"/>
      <c r="G181" s="72"/>
      <c r="H181" s="72"/>
      <c r="I181" s="72"/>
    </row>
    <row r="182" spans="3:9" customFormat="1" ht="15" x14ac:dyDescent="0.25">
      <c r="C182" s="68"/>
      <c r="G182" s="72"/>
      <c r="H182" s="72"/>
      <c r="I182" s="72"/>
    </row>
    <row r="183" spans="3:9" customFormat="1" ht="15" x14ac:dyDescent="0.25">
      <c r="C183" s="68"/>
      <c r="G183" s="72"/>
      <c r="H183" s="72"/>
      <c r="I183" s="72"/>
    </row>
    <row r="184" spans="3:9" customFormat="1" ht="15" x14ac:dyDescent="0.25">
      <c r="C184" s="68"/>
      <c r="G184" s="72"/>
      <c r="H184" s="72"/>
      <c r="I184" s="72"/>
    </row>
    <row r="185" spans="3:9" customFormat="1" ht="15" x14ac:dyDescent="0.25">
      <c r="C185" s="68"/>
      <c r="G185" s="72"/>
      <c r="H185" s="72"/>
      <c r="I185" s="72"/>
    </row>
    <row r="186" spans="3:9" customFormat="1" ht="15" x14ac:dyDescent="0.25">
      <c r="C186" s="68"/>
      <c r="G186" s="72"/>
      <c r="H186" s="72"/>
      <c r="I186" s="72"/>
    </row>
    <row r="187" spans="3:9" customFormat="1" ht="15" x14ac:dyDescent="0.25">
      <c r="C187" s="68"/>
      <c r="G187" s="72"/>
      <c r="H187" s="72"/>
      <c r="I187" s="72"/>
    </row>
    <row r="188" spans="3:9" customFormat="1" ht="15" x14ac:dyDescent="0.25">
      <c r="C188" s="68"/>
      <c r="G188" s="72"/>
      <c r="H188" s="72"/>
      <c r="I188" s="72"/>
    </row>
    <row r="189" spans="3:9" customFormat="1" ht="15" x14ac:dyDescent="0.25">
      <c r="C189" s="68"/>
      <c r="G189" s="72"/>
      <c r="H189" s="72"/>
      <c r="I189" s="72"/>
    </row>
    <row r="190" spans="3:9" customFormat="1" ht="15" x14ac:dyDescent="0.25">
      <c r="C190" s="68"/>
      <c r="G190" s="72"/>
      <c r="H190" s="72"/>
      <c r="I190" s="72"/>
    </row>
    <row r="191" spans="3:9" customFormat="1" ht="15" x14ac:dyDescent="0.25">
      <c r="C191" s="68"/>
      <c r="G191" s="72"/>
      <c r="H191" s="72"/>
      <c r="I191" s="72"/>
    </row>
    <row r="192" spans="3:9" customFormat="1" ht="15" x14ac:dyDescent="0.25">
      <c r="C192" s="68"/>
      <c r="G192" s="72"/>
      <c r="H192" s="72"/>
      <c r="I192" s="72"/>
    </row>
    <row r="193" spans="2:9" customFormat="1" ht="15" x14ac:dyDescent="0.25">
      <c r="C193" s="68"/>
      <c r="G193" s="72"/>
      <c r="H193" s="72"/>
      <c r="I193" s="72"/>
    </row>
    <row r="194" spans="2:9" customFormat="1" ht="15" x14ac:dyDescent="0.25">
      <c r="C194" s="68"/>
      <c r="G194" s="72"/>
      <c r="H194" s="72"/>
      <c r="I194" s="72"/>
    </row>
    <row r="195" spans="2:9" customFormat="1" ht="15" x14ac:dyDescent="0.25">
      <c r="C195" s="68"/>
      <c r="G195" s="72"/>
      <c r="H195" s="72"/>
      <c r="I195" s="72"/>
    </row>
    <row r="196" spans="2:9" customFormat="1" ht="15" x14ac:dyDescent="0.25">
      <c r="C196" s="68"/>
      <c r="G196" s="72"/>
      <c r="H196" s="72"/>
      <c r="I196" s="72"/>
    </row>
    <row r="197" spans="2:9" customFormat="1" ht="15" x14ac:dyDescent="0.25">
      <c r="C197" s="67"/>
      <c r="G197" s="72"/>
      <c r="H197" s="72"/>
      <c r="I197" s="72"/>
    </row>
    <row r="198" spans="2:9" customFormat="1" ht="15" x14ac:dyDescent="0.25">
      <c r="C198" s="67"/>
      <c r="G198" s="72"/>
      <c r="H198" s="72"/>
      <c r="I198" s="72"/>
    </row>
    <row r="199" spans="2:9" customFormat="1" ht="31.5" x14ac:dyDescent="0.25">
      <c r="C199" s="67"/>
      <c r="G199" s="72"/>
      <c r="H199" s="239"/>
      <c r="I199" s="239"/>
    </row>
    <row r="200" spans="2:9" customFormat="1" ht="15" x14ac:dyDescent="0.25">
      <c r="C200" s="67"/>
      <c r="G200" s="72"/>
      <c r="H200" s="72"/>
      <c r="I200" s="72"/>
    </row>
    <row r="201" spans="2:9" customFormat="1" ht="15" x14ac:dyDescent="0.25">
      <c r="C201" s="67"/>
      <c r="G201" s="72"/>
      <c r="H201" s="72"/>
      <c r="I201" s="72"/>
    </row>
    <row r="202" spans="2:9" customFormat="1" ht="15" x14ac:dyDescent="0.25">
      <c r="B202" s="162" t="e">
        <f>VLOOKUP($B$6,ADSL!$A:$CG,63,0)</f>
        <v>#N/A</v>
      </c>
      <c r="C202" s="67"/>
      <c r="G202" s="72"/>
      <c r="H202" s="157" t="e">
        <f>HYPERLINK(B202,"Abrir Imagen")</f>
        <v>#N/A</v>
      </c>
      <c r="I202" s="72"/>
    </row>
    <row r="203" spans="2:9" customFormat="1" ht="15" x14ac:dyDescent="0.25">
      <c r="C203" s="67"/>
      <c r="G203" s="72"/>
      <c r="H203" s="72"/>
      <c r="I203" s="72"/>
    </row>
    <row r="204" spans="2:9" customFormat="1" ht="15" x14ac:dyDescent="0.25">
      <c r="C204" s="67"/>
      <c r="G204" s="72"/>
      <c r="H204" s="72"/>
      <c r="I204" s="72"/>
    </row>
    <row r="205" spans="2:9" customFormat="1" ht="15" x14ac:dyDescent="0.25">
      <c r="C205" s="68"/>
      <c r="G205" s="72"/>
      <c r="H205" s="72"/>
      <c r="I205" s="72"/>
    </row>
    <row r="206" spans="2:9" customFormat="1" ht="15" x14ac:dyDescent="0.25">
      <c r="C206" s="68"/>
      <c r="G206" s="72"/>
      <c r="H206" s="72"/>
      <c r="I206" s="72"/>
    </row>
    <row r="207" spans="2:9" customFormat="1" ht="15" x14ac:dyDescent="0.25">
      <c r="C207" s="68"/>
      <c r="G207" s="72"/>
      <c r="H207" s="72"/>
      <c r="I207" s="72"/>
    </row>
    <row r="208" spans="2:9" customFormat="1" ht="15" x14ac:dyDescent="0.25">
      <c r="C208" s="68"/>
      <c r="G208" s="72"/>
      <c r="H208" s="72"/>
      <c r="I208" s="72"/>
    </row>
    <row r="209" spans="3:9" customFormat="1" ht="15" x14ac:dyDescent="0.25">
      <c r="C209" s="68"/>
      <c r="G209" s="72"/>
      <c r="H209" s="72"/>
      <c r="I209" s="72"/>
    </row>
    <row r="210" spans="3:9" customFormat="1" ht="15" x14ac:dyDescent="0.25">
      <c r="C210" s="68"/>
      <c r="G210" s="72"/>
      <c r="H210" s="72"/>
      <c r="I210" s="72"/>
    </row>
    <row r="211" spans="3:9" customFormat="1" ht="15" x14ac:dyDescent="0.25">
      <c r="C211" s="68"/>
      <c r="G211" s="72"/>
      <c r="H211" s="72"/>
      <c r="I211" s="72"/>
    </row>
    <row r="212" spans="3:9" customFormat="1" ht="15" x14ac:dyDescent="0.25">
      <c r="C212" s="68"/>
      <c r="G212" s="72"/>
      <c r="H212" s="72"/>
      <c r="I212" s="72"/>
    </row>
    <row r="213" spans="3:9" customFormat="1" ht="15" x14ac:dyDescent="0.25">
      <c r="C213" s="68"/>
      <c r="G213" s="72"/>
      <c r="H213" s="72"/>
      <c r="I213" s="72"/>
    </row>
    <row r="214" spans="3:9" customFormat="1" ht="15" x14ac:dyDescent="0.25">
      <c r="C214" s="68"/>
      <c r="G214" s="72"/>
      <c r="H214" s="72"/>
      <c r="I214" s="72"/>
    </row>
    <row r="215" spans="3:9" customFormat="1" ht="15" x14ac:dyDescent="0.25">
      <c r="C215" s="68"/>
      <c r="G215" s="72"/>
      <c r="H215" s="72"/>
      <c r="I215" s="72"/>
    </row>
    <row r="216" spans="3:9" customFormat="1" ht="15" x14ac:dyDescent="0.25">
      <c r="C216" s="68"/>
      <c r="G216" s="72"/>
      <c r="H216" s="72"/>
      <c r="I216" s="72"/>
    </row>
    <row r="217" spans="3:9" customFormat="1" ht="15" x14ac:dyDescent="0.25">
      <c r="C217" s="68"/>
      <c r="G217" s="72"/>
      <c r="H217" s="72"/>
      <c r="I217" s="72"/>
    </row>
    <row r="218" spans="3:9" customFormat="1" ht="15" x14ac:dyDescent="0.25">
      <c r="C218" s="68"/>
      <c r="G218" s="72"/>
      <c r="H218" s="72"/>
      <c r="I218" s="72"/>
    </row>
    <row r="219" spans="3:9" customFormat="1" ht="15" x14ac:dyDescent="0.25">
      <c r="C219" s="68"/>
      <c r="G219" s="72"/>
      <c r="H219" s="72"/>
      <c r="I219" s="72"/>
    </row>
    <row r="220" spans="3:9" customFormat="1" ht="15" x14ac:dyDescent="0.25">
      <c r="C220" s="68"/>
      <c r="G220" s="72"/>
      <c r="H220" s="72"/>
      <c r="I220" s="72"/>
    </row>
    <row r="221" spans="3:9" customFormat="1" ht="15" x14ac:dyDescent="0.25">
      <c r="C221" s="68"/>
      <c r="G221" s="72"/>
      <c r="H221" s="72"/>
      <c r="I221" s="72"/>
    </row>
    <row r="222" spans="3:9" customFormat="1" ht="15" x14ac:dyDescent="0.25">
      <c r="C222" s="68"/>
      <c r="G222" s="72"/>
      <c r="H222" s="72"/>
      <c r="I222" s="72"/>
    </row>
    <row r="223" spans="3:9" customFormat="1" ht="15" x14ac:dyDescent="0.25">
      <c r="C223" s="68"/>
      <c r="G223" s="72"/>
      <c r="H223" s="72"/>
      <c r="I223" s="72"/>
    </row>
    <row r="224" spans="3:9" customFormat="1" ht="15" x14ac:dyDescent="0.25">
      <c r="C224" s="68"/>
      <c r="G224" s="72"/>
      <c r="H224" s="72"/>
      <c r="I224" s="72"/>
    </row>
    <row r="225" spans="3:10" customFormat="1" ht="15" x14ac:dyDescent="0.25">
      <c r="C225" s="68"/>
      <c r="G225" s="72"/>
      <c r="H225" s="72"/>
      <c r="I225" s="72"/>
    </row>
    <row r="226" spans="3:10" customFormat="1" ht="15" x14ac:dyDescent="0.25">
      <c r="C226" s="68"/>
      <c r="G226" s="72"/>
      <c r="H226" s="72"/>
      <c r="I226" s="72"/>
    </row>
    <row r="227" spans="3:10" customFormat="1" ht="15" x14ac:dyDescent="0.25">
      <c r="C227" s="68"/>
      <c r="G227" s="72"/>
      <c r="H227" s="72"/>
      <c r="I227" s="72"/>
    </row>
    <row r="228" spans="3:10" customFormat="1" ht="15" x14ac:dyDescent="0.25">
      <c r="C228" s="68"/>
      <c r="G228" s="72"/>
      <c r="H228" s="72"/>
      <c r="I228" s="72"/>
    </row>
    <row r="229" spans="3:10" customFormat="1" ht="15" x14ac:dyDescent="0.25">
      <c r="C229" s="68"/>
      <c r="G229" s="72"/>
      <c r="H229" s="72"/>
      <c r="I229" s="72"/>
    </row>
    <row r="230" spans="3:10" customFormat="1" ht="15" x14ac:dyDescent="0.25">
      <c r="C230" s="68"/>
      <c r="G230" s="72"/>
      <c r="H230" s="72"/>
      <c r="I230" s="72"/>
    </row>
    <row r="231" spans="3:10" customFormat="1" ht="15" x14ac:dyDescent="0.25">
      <c r="C231" s="68"/>
      <c r="G231" s="72"/>
      <c r="H231" s="72"/>
      <c r="I231" s="72"/>
    </row>
    <row r="232" spans="3:10" customFormat="1" ht="15" x14ac:dyDescent="0.25">
      <c r="C232" s="68"/>
      <c r="G232" s="72"/>
      <c r="H232" s="72"/>
      <c r="I232" s="72"/>
    </row>
    <row r="233" spans="3:10" customFormat="1" ht="15" x14ac:dyDescent="0.25">
      <c r="C233" s="68"/>
      <c r="G233" s="72"/>
      <c r="H233" s="72"/>
      <c r="I233" s="72"/>
    </row>
    <row r="234" spans="3:10" customFormat="1" ht="15" x14ac:dyDescent="0.25">
      <c r="C234" s="68"/>
      <c r="G234" s="72"/>
      <c r="H234" s="72"/>
      <c r="I234" s="72"/>
    </row>
    <row r="235" spans="3:10" customFormat="1" ht="15" x14ac:dyDescent="0.25">
      <c r="C235" s="68"/>
      <c r="G235" s="72"/>
      <c r="H235" s="72"/>
      <c r="I235" s="72"/>
    </row>
    <row r="236" spans="3:10" customFormat="1" ht="15" x14ac:dyDescent="0.25">
      <c r="C236" s="68"/>
      <c r="G236" s="72"/>
      <c r="H236" s="72"/>
      <c r="I236" s="72"/>
    </row>
    <row r="237" spans="3:10" customFormat="1" ht="15" x14ac:dyDescent="0.25">
      <c r="C237" s="68"/>
      <c r="G237" s="72"/>
      <c r="H237" s="72"/>
      <c r="I237" s="72"/>
    </row>
    <row r="238" spans="3:10" customFormat="1" ht="15" x14ac:dyDescent="0.25">
      <c r="D238" s="68"/>
      <c r="H238" s="72"/>
      <c r="I238" s="72"/>
      <c r="J238" s="72"/>
    </row>
    <row r="239" spans="3:10" customFormat="1" ht="15" x14ac:dyDescent="0.25">
      <c r="D239" s="68"/>
      <c r="H239" s="72"/>
      <c r="I239" s="72"/>
      <c r="J239" s="72"/>
    </row>
    <row r="240" spans="3:10" customFormat="1" ht="15" x14ac:dyDescent="0.25">
      <c r="D240" s="68"/>
      <c r="H240" s="72"/>
      <c r="I240" s="72"/>
      <c r="J240" s="72"/>
    </row>
  </sheetData>
  <mergeCells count="15">
    <mergeCell ref="H155:I155"/>
    <mergeCell ref="H199:I199"/>
    <mergeCell ref="G98:H98"/>
    <mergeCell ref="B72:C72"/>
    <mergeCell ref="A75:A77"/>
    <mergeCell ref="B75:B77"/>
    <mergeCell ref="A79:D81"/>
    <mergeCell ref="B88:D90"/>
    <mergeCell ref="A55:D55"/>
    <mergeCell ref="G1:I1"/>
    <mergeCell ref="A29:A31"/>
    <mergeCell ref="B29:B31"/>
    <mergeCell ref="A33:D35"/>
    <mergeCell ref="A50:A52"/>
    <mergeCell ref="B50:B52"/>
  </mergeCells>
  <conditionalFormatting sqref="C16:C26 C42:C47 I238:I240 H203:H237">
    <cfRule type="containsText" dxfId="11" priority="4" operator="containsText" text="NO">
      <formula>NOT(ISERROR(SEARCH("NO",C16)))</formula>
    </cfRule>
  </conditionalFormatting>
  <conditionalFormatting sqref="I93:I95">
    <cfRule type="containsText" dxfId="10" priority="3" operator="containsText" text="NO">
      <formula>NOT(ISERROR(SEARCH("NO",I93)))</formula>
    </cfRule>
  </conditionalFormatting>
  <conditionalFormatting sqref="H153:H157 H159 H161:H201">
    <cfRule type="containsText" dxfId="9" priority="2" operator="containsText" text="NO">
      <formula>NOT(ISERROR(SEARCH("NO",H153)))</formula>
    </cfRule>
  </conditionalFormatting>
  <conditionalFormatting sqref="B86">
    <cfRule type="containsText" dxfId="8" priority="1" operator="containsText" text="NO">
      <formula>NOT(ISERROR(SEARCH("NO",B86)))</formula>
    </cfRule>
  </conditionalFormatting>
  <pageMargins left="0.70866141732283472" right="0.70866141732283472" top="0.74803149606299213" bottom="0.74803149606299213" header="0.31496062992125984" footer="0.31496062992125984"/>
  <pageSetup scale="50" orientation="portrait" r:id="rId1"/>
  <headerFooter>
    <oddFooter>&amp;RF.OLIVA</oddFooter>
  </headerFooter>
  <rowBreaks count="3" manualBreakCount="3">
    <brk id="96" max="8" man="1"/>
    <brk id="153" max="8" man="1"/>
    <brk id="196" max="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200-000000000000}">
          <x14:formula1>
            <xm:f>'C:\Users\oliva.francis\Desktop\2017\AUDITORIAS PERSONAL INTERNO\[CALIDAD DE LA INSTALACION 2017 V1..xlsx]LISTAS'!#REF!</xm:f>
          </x14:formula1>
          <xm:sqref>A8</xm:sqref>
        </x14:dataValidation>
        <x14:dataValidation type="list" allowBlank="1" showInputMessage="1" showErrorMessage="1" xr:uid="{00000000-0002-0000-0200-000001000000}">
          <x14:formula1>
            <xm:f>'C:\Users\oliva.francis\Desktop\2017\AUDITORIAS PERSONAL INTERNO\[CALIDAD DE LA INSTALACION 2017 V1..xlsx]Sheet1'!#REF!</xm:f>
          </x14:formula1>
          <xm:sqref>B60 B39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FFC000"/>
  </sheetPr>
  <dimension ref="A1:J173"/>
  <sheetViews>
    <sheetView showGridLines="0" view="pageBreakPreview" topLeftCell="A28" zoomScale="85" zoomScaleNormal="85" zoomScaleSheetLayoutView="85" workbookViewId="0">
      <selection activeCell="D43" sqref="D43:H43"/>
    </sheetView>
  </sheetViews>
  <sheetFormatPr baseColWidth="10" defaultColWidth="11.42578125" defaultRowHeight="15" x14ac:dyDescent="0.25"/>
  <cols>
    <col min="1" max="1" width="34.5703125" customWidth="1"/>
    <col min="2" max="2" width="20.85546875" customWidth="1"/>
    <col min="3" max="3" width="20.140625" customWidth="1"/>
    <col min="4" max="4" width="14.85546875" customWidth="1"/>
    <col min="5" max="5" width="2.5703125" customWidth="1"/>
    <col min="8" max="8" width="16.42578125" customWidth="1"/>
  </cols>
  <sheetData>
    <row r="1" spans="1:8" ht="31.5" x14ac:dyDescent="0.5">
      <c r="F1" s="213"/>
      <c r="G1" s="213"/>
      <c r="H1" s="213"/>
    </row>
    <row r="2" spans="1:8" ht="21" customHeight="1" x14ac:dyDescent="0.25">
      <c r="B2" s="1" t="s">
        <v>86</v>
      </c>
    </row>
    <row r="3" spans="1:8" x14ac:dyDescent="0.25">
      <c r="A3" s="4" t="s">
        <v>1</v>
      </c>
      <c r="B3" s="55" t="e">
        <f>VLOOKUP($B$6,ADSL!$A:$CG,5,0)</f>
        <v>#N/A</v>
      </c>
      <c r="C3" s="51" t="s">
        <v>87</v>
      </c>
      <c r="D3" s="52" t="e">
        <f>VLOOKUP($B$6,ADSL!$A:$CG,2,0)</f>
        <v>#N/A</v>
      </c>
      <c r="G3" s="4"/>
    </row>
    <row r="4" spans="1:8" x14ac:dyDescent="0.25">
      <c r="A4" s="4" t="s">
        <v>3</v>
      </c>
      <c r="B4" s="55" t="s">
        <v>42</v>
      </c>
      <c r="C4" s="53"/>
      <c r="G4" s="4"/>
    </row>
    <row r="5" spans="1:8" x14ac:dyDescent="0.25">
      <c r="A5" s="7" t="s">
        <v>4</v>
      </c>
      <c r="B5" s="55" t="e">
        <f>VLOOKUP($B$6,ADSL!$A:$CG,6,0)</f>
        <v>#N/A</v>
      </c>
      <c r="C5" s="53"/>
      <c r="G5" s="7"/>
    </row>
    <row r="6" spans="1:8" ht="30" customHeight="1" x14ac:dyDescent="0.25">
      <c r="A6" s="7" t="s">
        <v>43</v>
      </c>
      <c r="B6" s="159"/>
      <c r="C6" s="27"/>
      <c r="G6" s="7"/>
    </row>
    <row r="7" spans="1:8" x14ac:dyDescent="0.25">
      <c r="A7" s="4" t="s">
        <v>6</v>
      </c>
      <c r="B7" s="55" t="e">
        <f>VLOOKUP($B$6,ADSL!$A:$CG,7,0)</f>
        <v>#N/A</v>
      </c>
      <c r="C7" s="53"/>
      <c r="G7" s="7"/>
    </row>
    <row r="8" spans="1:8" x14ac:dyDescent="0.25">
      <c r="A8" s="4" t="s">
        <v>5</v>
      </c>
      <c r="B8" s="55"/>
      <c r="C8" s="53"/>
      <c r="D8" s="53"/>
      <c r="G8" s="4"/>
    </row>
    <row r="9" spans="1:8" x14ac:dyDescent="0.25">
      <c r="A9" s="54" t="s">
        <v>132</v>
      </c>
      <c r="B9" s="55" t="s">
        <v>88</v>
      </c>
      <c r="C9" s="53"/>
      <c r="D9" s="53"/>
    </row>
    <row r="10" spans="1:8" x14ac:dyDescent="0.25">
      <c r="A10" s="53"/>
      <c r="B10" s="53"/>
      <c r="C10" s="53"/>
      <c r="D10" s="53"/>
    </row>
    <row r="12" spans="1:8" x14ac:dyDescent="0.25">
      <c r="A12" s="51"/>
      <c r="B12" s="9"/>
    </row>
    <row r="13" spans="1:8" x14ac:dyDescent="0.25">
      <c r="A13" s="51" t="s">
        <v>7</v>
      </c>
      <c r="B13" s="160" t="e">
        <f>VLOOKUP($B$6,ADSL!$A:$CG,8,0)</f>
        <v>#N/A</v>
      </c>
      <c r="C13" s="56"/>
    </row>
    <row r="14" spans="1:8" x14ac:dyDescent="0.25">
      <c r="A14" s="57" t="s">
        <v>9</v>
      </c>
      <c r="B14" s="160" t="e">
        <f>VLOOKUP($B$6,ADSL!$A:$CG,9,0)</f>
        <v>#N/A</v>
      </c>
      <c r="C14" s="56"/>
    </row>
    <row r="15" spans="1:8" ht="15.75" thickBot="1" x14ac:dyDescent="0.3"/>
    <row r="16" spans="1:8" ht="20.25" thickBot="1" x14ac:dyDescent="0.35">
      <c r="A16" s="282" t="s">
        <v>88</v>
      </c>
      <c r="B16" s="283"/>
      <c r="C16" s="284"/>
    </row>
    <row r="17" spans="1:4" ht="15.75" thickBot="1" x14ac:dyDescent="0.3">
      <c r="A17" s="58" t="s">
        <v>89</v>
      </c>
      <c r="B17" s="59" t="s">
        <v>90</v>
      </c>
      <c r="C17" s="69" t="s">
        <v>91</v>
      </c>
    </row>
    <row r="18" spans="1:4" x14ac:dyDescent="0.25">
      <c r="A18" s="60" t="s">
        <v>92</v>
      </c>
      <c r="B18" s="122">
        <v>10</v>
      </c>
      <c r="C18" s="88" t="e">
        <f>VLOOKUP($B$6,ADSL!$A:$CG,27,0)</f>
        <v>#N/A</v>
      </c>
      <c r="D18" s="89" t="e">
        <f>IF(C18="si",10,IF(C18="no",0,IF(C18="n/a",10)))</f>
        <v>#N/A</v>
      </c>
    </row>
    <row r="19" spans="1:4" ht="25.5" x14ac:dyDescent="0.25">
      <c r="A19" s="144" t="s">
        <v>93</v>
      </c>
      <c r="B19" s="123">
        <v>5</v>
      </c>
      <c r="C19" s="90" t="e">
        <f>VLOOKUP($B$6,ADSL!$A:$CG,28,0)</f>
        <v>#N/A</v>
      </c>
      <c r="D19" s="91" t="e">
        <f>IF(C19="si",5,IF(C19="no",0,IF(C19="n/a",5)))</f>
        <v>#N/A</v>
      </c>
    </row>
    <row r="20" spans="1:4" x14ac:dyDescent="0.25">
      <c r="A20" s="61" t="s">
        <v>94</v>
      </c>
      <c r="B20" s="123">
        <v>15</v>
      </c>
      <c r="C20" s="90" t="e">
        <f>VLOOKUP($B$6,ADSL!$A:$CG,29,0)</f>
        <v>#N/A</v>
      </c>
      <c r="D20" s="91" t="e">
        <f>IF(C20="si",15,IF(C20="no",0,IF(C20="n/a",15)))</f>
        <v>#N/A</v>
      </c>
    </row>
    <row r="21" spans="1:4" x14ac:dyDescent="0.25">
      <c r="A21" s="61" t="s">
        <v>95</v>
      </c>
      <c r="B21" s="123">
        <v>5</v>
      </c>
      <c r="C21" s="90" t="e">
        <f>VLOOKUP($B$6,ADSL!$A:$CG,30,0)</f>
        <v>#N/A</v>
      </c>
      <c r="D21" s="91" t="e">
        <f>IF(C21="si",5,IF(C21="no",0,IF(C21="n/a",5)))</f>
        <v>#N/A</v>
      </c>
    </row>
    <row r="22" spans="1:4" ht="25.5" x14ac:dyDescent="0.25">
      <c r="A22" s="144" t="s">
        <v>96</v>
      </c>
      <c r="B22" s="123">
        <v>20</v>
      </c>
      <c r="C22" s="90" t="e">
        <f>VLOOKUP($B$6,ADSL!$A:$CG,31,0)</f>
        <v>#N/A</v>
      </c>
      <c r="D22" s="91" t="e">
        <f>IF(C22="si",20,IF(C22="no",0,IF(C22="n/a",20)))</f>
        <v>#N/A</v>
      </c>
    </row>
    <row r="23" spans="1:4" x14ac:dyDescent="0.25">
      <c r="A23" s="61" t="s">
        <v>97</v>
      </c>
      <c r="B23" s="123">
        <v>10</v>
      </c>
      <c r="C23" s="90" t="e">
        <f>VLOOKUP($B$6,ADSL!$A:$CG,32,0)</f>
        <v>#N/A</v>
      </c>
      <c r="D23" s="91" t="e">
        <f>IF(C23="si",10,IF(C23="no",0,IF(C23="n/a",10)))</f>
        <v>#N/A</v>
      </c>
    </row>
    <row r="24" spans="1:4" x14ac:dyDescent="0.25">
      <c r="A24" s="61" t="s">
        <v>98</v>
      </c>
      <c r="B24" s="123">
        <v>2</v>
      </c>
      <c r="C24" s="90" t="e">
        <f>VLOOKUP($B$6,ADSL!$A:$CG,33,0)</f>
        <v>#N/A</v>
      </c>
      <c r="D24" s="91" t="e">
        <f>IF(C24="si",2,IF(C24="no",0,IF(C24="n/a",2)))</f>
        <v>#N/A</v>
      </c>
    </row>
    <row r="25" spans="1:4" x14ac:dyDescent="0.25">
      <c r="A25" s="61" t="s">
        <v>99</v>
      </c>
      <c r="B25" s="123">
        <v>2</v>
      </c>
      <c r="C25" s="90" t="e">
        <f>VLOOKUP($B$6,ADSL!$A:$CG,34,0)</f>
        <v>#N/A</v>
      </c>
      <c r="D25" s="91" t="e">
        <f>IF(C25="si",2,IF(C25="no",0,IF(C25="n/a",2)))</f>
        <v>#N/A</v>
      </c>
    </row>
    <row r="26" spans="1:4" x14ac:dyDescent="0.25">
      <c r="A26" s="61" t="s">
        <v>100</v>
      </c>
      <c r="B26" s="123">
        <v>2</v>
      </c>
      <c r="C26" s="90" t="e">
        <f>VLOOKUP($B$6,ADSL!$A:$CG,35,0)</f>
        <v>#N/A</v>
      </c>
      <c r="D26" s="91" t="e">
        <f>IF(C26="si",2,IF(C26="no",0,IF(C26="n/a",2)))</f>
        <v>#N/A</v>
      </c>
    </row>
    <row r="27" spans="1:4" x14ac:dyDescent="0.25">
      <c r="A27" s="61" t="s">
        <v>101</v>
      </c>
      <c r="B27" s="123">
        <v>2</v>
      </c>
      <c r="C27" s="90" t="e">
        <f>VLOOKUP($B$6,ADSL!$A:$CG,36,0)</f>
        <v>#N/A</v>
      </c>
      <c r="D27" s="91" t="e">
        <f>IF(C27="si",2,IF(C27="no",0,IF(C27="n/a",2)))</f>
        <v>#N/A</v>
      </c>
    </row>
    <row r="28" spans="1:4" x14ac:dyDescent="0.25">
      <c r="A28" s="61" t="s">
        <v>102</v>
      </c>
      <c r="B28" s="123">
        <v>2</v>
      </c>
      <c r="C28" s="90" t="e">
        <f>VLOOKUP($B$6,ADSL!$A:$CG,37,0)</f>
        <v>#N/A</v>
      </c>
      <c r="D28" s="91" t="e">
        <f>IF(C28="si",2,IF(C28="no",0,IF(C28="n/a",2)))</f>
        <v>#N/A</v>
      </c>
    </row>
    <row r="29" spans="1:4" x14ac:dyDescent="0.25">
      <c r="A29" s="61" t="s">
        <v>103</v>
      </c>
      <c r="B29" s="123">
        <v>5</v>
      </c>
      <c r="C29" s="90" t="e">
        <f>VLOOKUP($B$6,ADSL!$A:$CG,38,0)</f>
        <v>#N/A</v>
      </c>
      <c r="D29" s="91" t="e">
        <f>IF(C29="si",5,IF(C29="no",0,IF(C29="n/a",5)))</f>
        <v>#N/A</v>
      </c>
    </row>
    <row r="30" spans="1:4" x14ac:dyDescent="0.25">
      <c r="A30" s="61" t="s">
        <v>104</v>
      </c>
      <c r="B30" s="123">
        <v>5</v>
      </c>
      <c r="C30" s="90" t="e">
        <f>VLOOKUP($B$6,ADSL!$A:$CG,39,0)</f>
        <v>#N/A</v>
      </c>
      <c r="D30" s="91" t="e">
        <f>IF(C30="si",5,IF(C30="no",0,IF(C30="n/a",5)))</f>
        <v>#N/A</v>
      </c>
    </row>
    <row r="31" spans="1:4" x14ac:dyDescent="0.25">
      <c r="A31" s="61" t="s">
        <v>105</v>
      </c>
      <c r="B31" s="123">
        <v>5</v>
      </c>
      <c r="C31" s="90" t="e">
        <f>VLOOKUP($B$6,ADSL!$A:$CG,40,0)</f>
        <v>#N/A</v>
      </c>
      <c r="D31" s="91" t="e">
        <f>IF(C31="si",5,IF(C31="no",0,IF(C31="n/a",5)))</f>
        <v>#N/A</v>
      </c>
    </row>
    <row r="32" spans="1:4" x14ac:dyDescent="0.25">
      <c r="A32" s="61" t="s">
        <v>106</v>
      </c>
      <c r="B32" s="123">
        <v>5</v>
      </c>
      <c r="C32" s="90" t="e">
        <f>VLOOKUP($B$6,ADSL!$A:$CG,41,0)</f>
        <v>#N/A</v>
      </c>
      <c r="D32" s="91" t="e">
        <f>IF(C32="si",5,IF(C32="no",0,IF(C32="n/a",5)))</f>
        <v>#N/A</v>
      </c>
    </row>
    <row r="33" spans="1:9" ht="26.25" thickBot="1" x14ac:dyDescent="0.3">
      <c r="A33" s="161" t="s">
        <v>107</v>
      </c>
      <c r="B33" s="124">
        <v>5</v>
      </c>
      <c r="C33" s="92" t="e">
        <f>VLOOKUP($B$6,ADSL!$A:$CG,42,0)</f>
        <v>#N/A</v>
      </c>
      <c r="D33" s="93" t="e">
        <f>IF(C33="si",5,IF(C33="no",0,IF(C33="n/a",5)))</f>
        <v>#N/A</v>
      </c>
    </row>
    <row r="34" spans="1:9" ht="16.5" thickBot="1" x14ac:dyDescent="0.3">
      <c r="A34" s="62" t="s">
        <v>59</v>
      </c>
      <c r="B34" s="125">
        <f>SUM(B18:B33)</f>
        <v>100</v>
      </c>
      <c r="C34" s="72"/>
      <c r="D34" s="94" t="e">
        <f>SUM(D18:D33)</f>
        <v>#N/A</v>
      </c>
    </row>
    <row r="36" spans="1:9" x14ac:dyDescent="0.25">
      <c r="A36" s="70"/>
      <c r="B36" s="63"/>
    </row>
    <row r="37" spans="1:9" x14ac:dyDescent="0.25">
      <c r="A37" s="70"/>
      <c r="B37" s="63"/>
    </row>
    <row r="38" spans="1:9" x14ac:dyDescent="0.25">
      <c r="A38" s="70"/>
      <c r="B38" s="63"/>
    </row>
    <row r="40" spans="1:9" x14ac:dyDescent="0.25">
      <c r="A40" s="145" t="s">
        <v>39</v>
      </c>
      <c r="B40" s="22" t="s">
        <v>140</v>
      </c>
      <c r="D40" s="22" t="s">
        <v>141</v>
      </c>
      <c r="E40" s="18"/>
      <c r="H40" s="22" t="s">
        <v>142</v>
      </c>
      <c r="I40" s="72"/>
    </row>
    <row r="41" spans="1:9" x14ac:dyDescent="0.25">
      <c r="A41" s="23"/>
      <c r="B41" s="21"/>
      <c r="C41" s="24"/>
      <c r="D41" s="24"/>
      <c r="E41" s="18"/>
      <c r="H41" s="72"/>
      <c r="I41" s="72"/>
    </row>
    <row r="42" spans="1:9" x14ac:dyDescent="0.25">
      <c r="A42" s="146" t="s">
        <v>143</v>
      </c>
      <c r="B42" s="146" t="s">
        <v>144</v>
      </c>
      <c r="D42" s="146" t="s">
        <v>145</v>
      </c>
      <c r="E42" s="18"/>
      <c r="H42" s="146" t="s">
        <v>146</v>
      </c>
      <c r="I42" s="72"/>
    </row>
    <row r="43" spans="1:9" ht="45" x14ac:dyDescent="0.25">
      <c r="D43" s="79" t="s">
        <v>151</v>
      </c>
      <c r="H43" s="79" t="s">
        <v>150</v>
      </c>
    </row>
    <row r="49" spans="2:7" ht="31.5" x14ac:dyDescent="0.5">
      <c r="F49" s="275"/>
      <c r="G49" s="275"/>
    </row>
    <row r="53" spans="2:7" x14ac:dyDescent="0.25">
      <c r="B53" s="162" t="e">
        <f>VLOOKUP($B$6,ADSL!$A:$CG,61,0)</f>
        <v>#N/A</v>
      </c>
      <c r="C53" s="84"/>
      <c r="D53" s="84"/>
      <c r="E53" s="18"/>
      <c r="F53" s="18"/>
      <c r="G53" s="157" t="e">
        <f>HYPERLINK(B53,"Abrir Imagen")</f>
        <v>#N/A</v>
      </c>
    </row>
    <row r="93" spans="2:9" x14ac:dyDescent="0.25">
      <c r="C93" s="67"/>
      <c r="G93" s="72"/>
      <c r="H93" s="72"/>
      <c r="I93" s="72"/>
    </row>
    <row r="94" spans="2:9" ht="31.5" x14ac:dyDescent="0.25">
      <c r="C94" s="67"/>
      <c r="G94" s="72"/>
      <c r="H94" s="239"/>
      <c r="I94" s="239"/>
    </row>
    <row r="95" spans="2:9" x14ac:dyDescent="0.25">
      <c r="B95" s="162" t="e">
        <f>VLOOKUP($B$6,ADSL!$A:$CG,62,0)</f>
        <v>#N/A</v>
      </c>
      <c r="C95" s="67"/>
      <c r="G95" s="72"/>
      <c r="H95" s="157" t="e">
        <f>HYPERLINK(B95,"Abrir Imagen")</f>
        <v>#N/A</v>
      </c>
      <c r="I95" s="72"/>
    </row>
    <row r="96" spans="2:9" x14ac:dyDescent="0.25">
      <c r="C96" s="68"/>
      <c r="G96" s="72"/>
      <c r="H96" s="72"/>
      <c r="I96" s="72"/>
    </row>
    <row r="97" spans="3:9" x14ac:dyDescent="0.25">
      <c r="C97" s="68"/>
      <c r="G97" s="72"/>
      <c r="H97" s="72"/>
      <c r="I97" s="72"/>
    </row>
    <row r="98" spans="3:9" x14ac:dyDescent="0.25">
      <c r="C98" s="68"/>
      <c r="G98" s="72"/>
      <c r="H98" s="72"/>
      <c r="I98" s="72"/>
    </row>
    <row r="99" spans="3:9" x14ac:dyDescent="0.25">
      <c r="C99" s="68"/>
      <c r="G99" s="72"/>
      <c r="H99" s="72"/>
      <c r="I99" s="72"/>
    </row>
    <row r="100" spans="3:9" x14ac:dyDescent="0.25">
      <c r="C100" s="68"/>
      <c r="G100" s="72"/>
      <c r="H100" s="72"/>
      <c r="I100" s="72"/>
    </row>
    <row r="101" spans="3:9" x14ac:dyDescent="0.25">
      <c r="C101" s="68"/>
      <c r="G101" s="72"/>
      <c r="H101" s="72"/>
      <c r="I101" s="72"/>
    </row>
    <row r="102" spans="3:9" x14ac:dyDescent="0.25">
      <c r="C102" s="68"/>
      <c r="G102" s="72"/>
      <c r="H102" s="72"/>
      <c r="I102" s="72"/>
    </row>
    <row r="103" spans="3:9" x14ac:dyDescent="0.25">
      <c r="C103" s="68"/>
      <c r="G103" s="72"/>
      <c r="H103" s="72"/>
      <c r="I103" s="72"/>
    </row>
    <row r="104" spans="3:9" x14ac:dyDescent="0.25">
      <c r="C104" s="68"/>
      <c r="G104" s="72"/>
      <c r="H104" s="72"/>
      <c r="I104" s="72"/>
    </row>
    <row r="105" spans="3:9" x14ac:dyDescent="0.25">
      <c r="C105" s="68"/>
      <c r="G105" s="72"/>
      <c r="H105" s="72"/>
      <c r="I105" s="72"/>
    </row>
    <row r="106" spans="3:9" x14ac:dyDescent="0.25">
      <c r="C106" s="68"/>
      <c r="G106" s="72"/>
      <c r="H106" s="72"/>
      <c r="I106" s="72"/>
    </row>
    <row r="107" spans="3:9" x14ac:dyDescent="0.25">
      <c r="C107" s="68"/>
      <c r="G107" s="72"/>
      <c r="H107" s="72"/>
      <c r="I107" s="72"/>
    </row>
    <row r="108" spans="3:9" x14ac:dyDescent="0.25">
      <c r="C108" s="68"/>
      <c r="G108" s="72"/>
      <c r="H108" s="72"/>
      <c r="I108" s="72"/>
    </row>
    <row r="109" spans="3:9" x14ac:dyDescent="0.25">
      <c r="C109" s="68"/>
      <c r="G109" s="72"/>
      <c r="H109" s="72"/>
      <c r="I109" s="72"/>
    </row>
    <row r="110" spans="3:9" x14ac:dyDescent="0.25">
      <c r="C110" s="68"/>
      <c r="G110" s="72"/>
      <c r="H110" s="72"/>
      <c r="I110" s="72"/>
    </row>
    <row r="111" spans="3:9" x14ac:dyDescent="0.25">
      <c r="C111" s="68"/>
      <c r="G111" s="72"/>
      <c r="H111" s="72"/>
      <c r="I111" s="72"/>
    </row>
    <row r="112" spans="3:9" x14ac:dyDescent="0.25">
      <c r="C112" s="68"/>
      <c r="G112" s="72"/>
      <c r="H112" s="72"/>
      <c r="I112" s="72"/>
    </row>
    <row r="113" spans="3:9" x14ac:dyDescent="0.25">
      <c r="C113" s="68"/>
      <c r="G113" s="72"/>
      <c r="H113" s="72"/>
      <c r="I113" s="72"/>
    </row>
    <row r="114" spans="3:9" x14ac:dyDescent="0.25">
      <c r="C114" s="68"/>
      <c r="G114" s="72"/>
      <c r="H114" s="72"/>
      <c r="I114" s="72"/>
    </row>
    <row r="115" spans="3:9" x14ac:dyDescent="0.25">
      <c r="C115" s="68"/>
      <c r="G115" s="72"/>
      <c r="H115" s="72"/>
      <c r="I115" s="72"/>
    </row>
    <row r="116" spans="3:9" x14ac:dyDescent="0.25">
      <c r="C116" s="68"/>
      <c r="G116" s="72"/>
      <c r="H116" s="72"/>
      <c r="I116" s="72"/>
    </row>
    <row r="117" spans="3:9" x14ac:dyDescent="0.25">
      <c r="C117" s="68"/>
      <c r="G117" s="72"/>
      <c r="H117" s="72"/>
      <c r="I117" s="72"/>
    </row>
    <row r="118" spans="3:9" x14ac:dyDescent="0.25">
      <c r="C118" s="68"/>
      <c r="G118" s="72"/>
      <c r="H118" s="72"/>
      <c r="I118" s="72"/>
    </row>
    <row r="119" spans="3:9" x14ac:dyDescent="0.25">
      <c r="C119" s="68"/>
      <c r="G119" s="72"/>
      <c r="H119" s="72"/>
      <c r="I119" s="72"/>
    </row>
    <row r="120" spans="3:9" x14ac:dyDescent="0.25">
      <c r="C120" s="68"/>
      <c r="G120" s="72"/>
      <c r="H120" s="72"/>
      <c r="I120" s="72"/>
    </row>
    <row r="121" spans="3:9" x14ac:dyDescent="0.25">
      <c r="C121" s="68"/>
      <c r="G121" s="72"/>
      <c r="H121" s="72"/>
      <c r="I121" s="72"/>
    </row>
    <row r="122" spans="3:9" x14ac:dyDescent="0.25">
      <c r="C122" s="68"/>
      <c r="G122" s="72"/>
      <c r="H122" s="72"/>
      <c r="I122" s="72"/>
    </row>
    <row r="123" spans="3:9" x14ac:dyDescent="0.25">
      <c r="C123" s="68"/>
      <c r="G123" s="72"/>
      <c r="H123" s="72"/>
      <c r="I123" s="72"/>
    </row>
    <row r="124" spans="3:9" x14ac:dyDescent="0.25">
      <c r="C124" s="68"/>
      <c r="G124" s="72"/>
      <c r="H124" s="72"/>
      <c r="I124" s="72"/>
    </row>
    <row r="125" spans="3:9" x14ac:dyDescent="0.25">
      <c r="C125" s="68"/>
      <c r="G125" s="72"/>
      <c r="H125" s="72"/>
      <c r="I125" s="72"/>
    </row>
    <row r="126" spans="3:9" x14ac:dyDescent="0.25">
      <c r="C126" s="68"/>
      <c r="G126" s="72"/>
      <c r="H126" s="72"/>
      <c r="I126" s="72"/>
    </row>
    <row r="127" spans="3:9" x14ac:dyDescent="0.25">
      <c r="C127" s="68"/>
      <c r="G127" s="72"/>
      <c r="H127" s="72"/>
      <c r="I127" s="72"/>
    </row>
    <row r="128" spans="3:9" x14ac:dyDescent="0.25">
      <c r="C128" s="68"/>
      <c r="G128" s="72"/>
      <c r="H128" s="72"/>
      <c r="I128" s="72"/>
    </row>
    <row r="129" spans="2:9" x14ac:dyDescent="0.25">
      <c r="C129" s="68"/>
      <c r="G129" s="72"/>
      <c r="H129" s="72"/>
      <c r="I129" s="72"/>
    </row>
    <row r="130" spans="2:9" x14ac:dyDescent="0.25">
      <c r="C130" s="68"/>
      <c r="G130" s="72"/>
      <c r="H130" s="72"/>
      <c r="I130" s="72"/>
    </row>
    <row r="131" spans="2:9" x14ac:dyDescent="0.25">
      <c r="C131" s="68"/>
      <c r="G131" s="72"/>
      <c r="H131" s="72"/>
      <c r="I131" s="72"/>
    </row>
    <row r="132" spans="2:9" x14ac:dyDescent="0.25">
      <c r="C132" s="67"/>
      <c r="G132" s="72"/>
      <c r="H132" s="72"/>
      <c r="I132" s="72"/>
    </row>
    <row r="133" spans="2:9" x14ac:dyDescent="0.25">
      <c r="C133" s="67"/>
      <c r="G133" s="72"/>
      <c r="H133" s="72"/>
      <c r="I133" s="72"/>
    </row>
    <row r="134" spans="2:9" ht="31.5" x14ac:dyDescent="0.25">
      <c r="C134" s="67"/>
      <c r="G134" s="72"/>
      <c r="H134" s="239"/>
      <c r="I134" s="239"/>
    </row>
    <row r="135" spans="2:9" x14ac:dyDescent="0.25">
      <c r="C135" s="67"/>
      <c r="G135" s="72"/>
      <c r="H135" s="72"/>
      <c r="I135" s="72"/>
    </row>
    <row r="136" spans="2:9" x14ac:dyDescent="0.25">
      <c r="C136" s="67"/>
      <c r="G136" s="72"/>
      <c r="H136" s="72"/>
      <c r="I136" s="72"/>
    </row>
    <row r="137" spans="2:9" x14ac:dyDescent="0.25">
      <c r="B137" s="162" t="e">
        <f>VLOOKUP($B$6,ADSL!$A:$CG,63,0)</f>
        <v>#N/A</v>
      </c>
      <c r="C137" s="67"/>
      <c r="G137" s="72"/>
      <c r="H137" s="157" t="e">
        <f>HYPERLINK(B137,"Abrir Imagen")</f>
        <v>#N/A</v>
      </c>
      <c r="I137" s="72"/>
    </row>
    <row r="138" spans="2:9" x14ac:dyDescent="0.25">
      <c r="C138" s="67"/>
      <c r="G138" s="72"/>
      <c r="H138" s="72"/>
      <c r="I138" s="72"/>
    </row>
    <row r="139" spans="2:9" x14ac:dyDescent="0.25">
      <c r="C139" s="67"/>
      <c r="G139" s="72"/>
      <c r="H139" s="72"/>
      <c r="I139" s="72"/>
    </row>
    <row r="140" spans="2:9" x14ac:dyDescent="0.25">
      <c r="C140" s="68"/>
      <c r="G140" s="72"/>
      <c r="H140" s="72"/>
      <c r="I140" s="72"/>
    </row>
    <row r="141" spans="2:9" x14ac:dyDescent="0.25">
      <c r="C141" s="68"/>
      <c r="G141" s="72"/>
      <c r="H141" s="72"/>
      <c r="I141" s="72"/>
    </row>
    <row r="142" spans="2:9" x14ac:dyDescent="0.25">
      <c r="C142" s="68"/>
      <c r="G142" s="72"/>
      <c r="H142" s="72"/>
      <c r="I142" s="72"/>
    </row>
    <row r="143" spans="2:9" x14ac:dyDescent="0.25">
      <c r="C143" s="68"/>
      <c r="G143" s="72"/>
      <c r="H143" s="72"/>
      <c r="I143" s="72"/>
    </row>
    <row r="144" spans="2:9" x14ac:dyDescent="0.25">
      <c r="C144" s="68"/>
      <c r="G144" s="72"/>
      <c r="H144" s="72"/>
      <c r="I144" s="72"/>
    </row>
    <row r="145" spans="3:9" x14ac:dyDescent="0.25">
      <c r="C145" s="68"/>
      <c r="G145" s="72"/>
      <c r="H145" s="72"/>
      <c r="I145" s="72"/>
    </row>
    <row r="146" spans="3:9" x14ac:dyDescent="0.25">
      <c r="C146" s="68"/>
      <c r="G146" s="72"/>
      <c r="H146" s="72"/>
      <c r="I146" s="72"/>
    </row>
    <row r="147" spans="3:9" x14ac:dyDescent="0.25">
      <c r="C147" s="68"/>
      <c r="G147" s="72"/>
      <c r="H147" s="72"/>
      <c r="I147" s="72"/>
    </row>
    <row r="148" spans="3:9" x14ac:dyDescent="0.25">
      <c r="C148" s="68"/>
      <c r="G148" s="72"/>
      <c r="H148" s="72"/>
      <c r="I148" s="72"/>
    </row>
    <row r="149" spans="3:9" x14ac:dyDescent="0.25">
      <c r="C149" s="68"/>
      <c r="G149" s="72"/>
      <c r="H149" s="72"/>
      <c r="I149" s="72"/>
    </row>
    <row r="150" spans="3:9" x14ac:dyDescent="0.25">
      <c r="C150" s="68"/>
      <c r="G150" s="72"/>
      <c r="H150" s="72"/>
      <c r="I150" s="72"/>
    </row>
    <row r="151" spans="3:9" x14ac:dyDescent="0.25">
      <c r="C151" s="68"/>
      <c r="G151" s="72"/>
      <c r="H151" s="72"/>
      <c r="I151" s="72"/>
    </row>
    <row r="152" spans="3:9" x14ac:dyDescent="0.25">
      <c r="C152" s="68"/>
      <c r="G152" s="72"/>
      <c r="H152" s="72"/>
      <c r="I152" s="72"/>
    </row>
    <row r="153" spans="3:9" x14ac:dyDescent="0.25">
      <c r="C153" s="68"/>
      <c r="G153" s="72"/>
      <c r="H153" s="72"/>
      <c r="I153" s="72"/>
    </row>
    <row r="154" spans="3:9" x14ac:dyDescent="0.25">
      <c r="C154" s="68"/>
      <c r="G154" s="72"/>
      <c r="H154" s="72"/>
      <c r="I154" s="72"/>
    </row>
    <row r="155" spans="3:9" x14ac:dyDescent="0.25">
      <c r="C155" s="68"/>
      <c r="G155" s="72"/>
      <c r="H155" s="72"/>
      <c r="I155" s="72"/>
    </row>
    <row r="156" spans="3:9" x14ac:dyDescent="0.25">
      <c r="C156" s="68"/>
      <c r="G156" s="72"/>
      <c r="H156" s="72"/>
      <c r="I156" s="72"/>
    </row>
    <row r="157" spans="3:9" x14ac:dyDescent="0.25">
      <c r="C157" s="68"/>
      <c r="G157" s="72"/>
      <c r="H157" s="72"/>
      <c r="I157" s="72"/>
    </row>
    <row r="158" spans="3:9" x14ac:dyDescent="0.25">
      <c r="C158" s="68"/>
      <c r="G158" s="72"/>
      <c r="H158" s="72"/>
      <c r="I158" s="72"/>
    </row>
    <row r="159" spans="3:9" x14ac:dyDescent="0.25">
      <c r="C159" s="68"/>
      <c r="G159" s="72"/>
      <c r="H159" s="72"/>
      <c r="I159" s="72"/>
    </row>
    <row r="160" spans="3:9" x14ac:dyDescent="0.25">
      <c r="C160" s="68"/>
      <c r="G160" s="72"/>
      <c r="H160" s="72"/>
      <c r="I160" s="72"/>
    </row>
    <row r="161" spans="3:10" x14ac:dyDescent="0.25">
      <c r="C161" s="68"/>
      <c r="G161" s="72"/>
      <c r="H161" s="72"/>
      <c r="I161" s="72"/>
    </row>
    <row r="162" spans="3:10" x14ac:dyDescent="0.25">
      <c r="C162" s="68"/>
      <c r="G162" s="72"/>
      <c r="H162" s="72"/>
      <c r="I162" s="72"/>
    </row>
    <row r="163" spans="3:10" x14ac:dyDescent="0.25">
      <c r="C163" s="68"/>
      <c r="G163" s="72"/>
      <c r="H163" s="72"/>
      <c r="I163" s="72"/>
    </row>
    <row r="164" spans="3:10" x14ac:dyDescent="0.25">
      <c r="C164" s="68"/>
      <c r="G164" s="72"/>
      <c r="H164" s="72"/>
      <c r="I164" s="72"/>
    </row>
    <row r="165" spans="3:10" x14ac:dyDescent="0.25">
      <c r="C165" s="68"/>
      <c r="G165" s="72"/>
      <c r="H165" s="72"/>
      <c r="I165" s="72"/>
    </row>
    <row r="166" spans="3:10" x14ac:dyDescent="0.25">
      <c r="C166" s="68"/>
      <c r="G166" s="72"/>
      <c r="H166" s="72"/>
      <c r="I166" s="72"/>
    </row>
    <row r="167" spans="3:10" x14ac:dyDescent="0.25">
      <c r="C167" s="68"/>
      <c r="G167" s="72"/>
      <c r="H167" s="72"/>
      <c r="I167" s="72"/>
    </row>
    <row r="168" spans="3:10" x14ac:dyDescent="0.25">
      <c r="C168" s="68"/>
      <c r="G168" s="72"/>
      <c r="H168" s="72"/>
      <c r="I168" s="72"/>
    </row>
    <row r="169" spans="3:10" x14ac:dyDescent="0.25">
      <c r="C169" s="68"/>
      <c r="G169" s="72"/>
      <c r="H169" s="72"/>
      <c r="I169" s="72"/>
    </row>
    <row r="170" spans="3:10" x14ac:dyDescent="0.25">
      <c r="C170" s="68"/>
      <c r="G170" s="72"/>
      <c r="H170" s="72"/>
      <c r="I170" s="72"/>
    </row>
    <row r="171" spans="3:10" x14ac:dyDescent="0.25">
      <c r="C171" s="68"/>
      <c r="G171" s="72"/>
      <c r="H171" s="72"/>
      <c r="I171" s="72"/>
    </row>
    <row r="172" spans="3:10" x14ac:dyDescent="0.25">
      <c r="C172" s="68"/>
      <c r="G172" s="72"/>
      <c r="H172" s="72"/>
      <c r="I172" s="72"/>
    </row>
    <row r="173" spans="3:10" x14ac:dyDescent="0.25">
      <c r="D173" s="68"/>
      <c r="H173" s="72"/>
      <c r="I173" s="72"/>
      <c r="J173" s="72"/>
    </row>
  </sheetData>
  <mergeCells count="5">
    <mergeCell ref="H94:I94"/>
    <mergeCell ref="H134:I134"/>
    <mergeCell ref="F1:H1"/>
    <mergeCell ref="F49:G49"/>
    <mergeCell ref="A16:C16"/>
  </mergeCells>
  <conditionalFormatting sqref="C1:C2 C43:C52 C174:C1048576 C54:C92 C4:C39">
    <cfRule type="containsText" dxfId="7" priority="7" operator="containsText" text="NO">
      <formula>NOT(ISERROR(SEARCH("NO",C1)))</formula>
    </cfRule>
  </conditionalFormatting>
  <conditionalFormatting sqref="I40:I42">
    <cfRule type="containsText" dxfId="6" priority="3" operator="containsText" text="NO">
      <formula>NOT(ISERROR(SEARCH("NO",I40)))</formula>
    </cfRule>
  </conditionalFormatting>
  <conditionalFormatting sqref="I173 H138:H172">
    <cfRule type="containsText" dxfId="5" priority="2" operator="containsText" text="NO">
      <formula>NOT(ISERROR(SEARCH("NO",H138)))</formula>
    </cfRule>
  </conditionalFormatting>
  <conditionalFormatting sqref="H93:H94 H96:H136">
    <cfRule type="containsText" dxfId="4" priority="1" operator="containsText" text="NO">
      <formula>NOT(ISERROR(SEARCH("NO",H93)))</formula>
    </cfRule>
  </conditionalFormatting>
  <pageMargins left="0.70866141732283472" right="0.70866141732283472" top="0.74803149606299213" bottom="0.74803149606299213" header="0.31496062992125984" footer="0.31496062992125984"/>
  <pageSetup scale="62" orientation="portrait" r:id="rId1"/>
  <headerFooter>
    <oddFooter>&amp;RF.OLIVA</oddFooter>
  </headerFooter>
  <rowBreaks count="3" manualBreakCount="3">
    <brk id="46" max="8" man="1"/>
    <brk id="89" max="8" man="1"/>
    <brk id="131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'C:\Users\oliva.francis\Desktop\2017\AUDITORIAS PERSONAL INTERNO\[CALIDAD DE LA INSTALACION 2017 V1..xlsx]LISTAS'!#REF!</xm:f>
          </x14:formula1>
          <xm:sqref>A8 G8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ADSL</vt:lpstr>
      <vt:lpstr>CALTEC ADSL</vt:lpstr>
      <vt:lpstr>VUC ADSL</vt:lpstr>
      <vt:lpstr>TOOLS ADSL</vt:lpstr>
      <vt:lpstr>'CALTEC ADSL'!Área_de_impresión</vt:lpstr>
      <vt:lpstr>'TOOLS ADSL'!Área_de_impresión</vt:lpstr>
      <vt:lpstr>'VUC ADSL'!Área_de_impresión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Salazar</dc:creator>
  <cp:lastModifiedBy>Josue Lima</cp:lastModifiedBy>
  <cp:lastPrinted>2022-06-13T18:56:12Z</cp:lastPrinted>
  <dcterms:created xsi:type="dcterms:W3CDTF">2018-04-18T22:35:41Z</dcterms:created>
  <dcterms:modified xsi:type="dcterms:W3CDTF">2023-07-11T00:27:37Z</dcterms:modified>
</cp:coreProperties>
</file>