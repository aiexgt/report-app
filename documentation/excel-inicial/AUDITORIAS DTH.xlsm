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ima1\Downloads\ciccsa\"/>
    </mc:Choice>
  </mc:AlternateContent>
  <xr:revisionPtr revIDLastSave="0" documentId="13_ncr:1_{2485C951-73AD-4B34-8476-70512658FE99}" xr6:coauthVersionLast="47" xr6:coauthVersionMax="47" xr10:uidLastSave="{00000000-0000-0000-0000-000000000000}"/>
  <bookViews>
    <workbookView xWindow="-120" yWindow="-120" windowWidth="29040" windowHeight="15840" tabRatio="529" xr2:uid="{00000000-000D-0000-FFFF-FFFF00000000}"/>
  </bookViews>
  <sheets>
    <sheet name="DTH" sheetId="5" r:id="rId1"/>
    <sheet name="CALTEC DTH" sheetId="1" r:id="rId2"/>
    <sheet name="VUC DTH" sheetId="2" r:id="rId3"/>
    <sheet name="TOOLS DTH" sheetId="6" r:id="rId4"/>
  </sheets>
  <externalReferences>
    <externalReference r:id="rId5"/>
    <externalReference r:id="rId6"/>
  </externalReferences>
  <definedNames>
    <definedName name="_xlnm._FilterDatabase" localSheetId="0" hidden="1">DTH!$A$2:$BW$52</definedName>
    <definedName name="_xlnm.Print_Area" localSheetId="1">'CALTEC DTH'!$A$1:$K$176</definedName>
    <definedName name="_xlnm.Print_Area" localSheetId="3">'TOOLS DTH'!$A$1:$H$177</definedName>
    <definedName name="_xlnm.Print_Area" localSheetId="2">'VUC DTH'!$A$1:$I$207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3" i="5" l="1"/>
  <c r="BP3" i="5"/>
  <c r="BQ3" i="5"/>
  <c r="BR3" i="5"/>
  <c r="BS3" i="5"/>
  <c r="BV3" i="5"/>
  <c r="BO4" i="5"/>
  <c r="BP4" i="5"/>
  <c r="BQ4" i="5"/>
  <c r="BR4" i="5"/>
  <c r="BS4" i="5"/>
  <c r="BV4" i="5"/>
  <c r="BO5" i="5"/>
  <c r="BP5" i="5"/>
  <c r="BQ5" i="5"/>
  <c r="BR5" i="5"/>
  <c r="BS5" i="5"/>
  <c r="BV5" i="5"/>
  <c r="BO6" i="5"/>
  <c r="BP6" i="5"/>
  <c r="BQ6" i="5"/>
  <c r="BR6" i="5"/>
  <c r="BS6" i="5"/>
  <c r="BV6" i="5"/>
  <c r="BO7" i="5"/>
  <c r="BP7" i="5"/>
  <c r="BQ7" i="5"/>
  <c r="BR7" i="5"/>
  <c r="BS7" i="5"/>
  <c r="BV7" i="5"/>
  <c r="BV52" i="5" l="1"/>
  <c r="BV51" i="5"/>
  <c r="BV50" i="5"/>
  <c r="BV49" i="5"/>
  <c r="BV48" i="5"/>
  <c r="BV47" i="5"/>
  <c r="BV46" i="5"/>
  <c r="BV45" i="5"/>
  <c r="BV44" i="5"/>
  <c r="BV43" i="5"/>
  <c r="BV42" i="5"/>
  <c r="BV41" i="5"/>
  <c r="BV40" i="5"/>
  <c r="BV39" i="5"/>
  <c r="BV38" i="5"/>
  <c r="BV37" i="5"/>
  <c r="BV36" i="5"/>
  <c r="BV35" i="5"/>
  <c r="BV34" i="5"/>
  <c r="BV33" i="5"/>
  <c r="BV32" i="5"/>
  <c r="BV31" i="5"/>
  <c r="BV30" i="5"/>
  <c r="BV29" i="5"/>
  <c r="BV28" i="5"/>
  <c r="BV27" i="5"/>
  <c r="BV26" i="5"/>
  <c r="BV25" i="5"/>
  <c r="BV24" i="5"/>
  <c r="BV23" i="5"/>
  <c r="BV22" i="5"/>
  <c r="BV21" i="5"/>
  <c r="BV20" i="5"/>
  <c r="BV19" i="5"/>
  <c r="BV18" i="5"/>
  <c r="BV17" i="5"/>
  <c r="BV16" i="5"/>
  <c r="BV15" i="5"/>
  <c r="BV14" i="5"/>
  <c r="BV13" i="5"/>
  <c r="BV12" i="5"/>
  <c r="BV11" i="5"/>
  <c r="BV10" i="5"/>
  <c r="BV9" i="5"/>
  <c r="BV8" i="5"/>
  <c r="BO9" i="5" l="1"/>
  <c r="BO10" i="5"/>
  <c r="BO11" i="5"/>
  <c r="BO12" i="5"/>
  <c r="BO13" i="5"/>
  <c r="BO14" i="5"/>
  <c r="BO15" i="5"/>
  <c r="BO16" i="5"/>
  <c r="BO17" i="5"/>
  <c r="BO18" i="5"/>
  <c r="BO19" i="5"/>
  <c r="BO20" i="5"/>
  <c r="BO21" i="5"/>
  <c r="BO22" i="5"/>
  <c r="BO23" i="5"/>
  <c r="BO24" i="5"/>
  <c r="BO25" i="5"/>
  <c r="BO26" i="5"/>
  <c r="BO27" i="5"/>
  <c r="BO28" i="5"/>
  <c r="BO29" i="5"/>
  <c r="BO30" i="5"/>
  <c r="BO31" i="5"/>
  <c r="BO32" i="5"/>
  <c r="BO33" i="5"/>
  <c r="BO34" i="5"/>
  <c r="BO35" i="5"/>
  <c r="BO36" i="5"/>
  <c r="BO37" i="5"/>
  <c r="BO38" i="5"/>
  <c r="BO39" i="5"/>
  <c r="BO40" i="5"/>
  <c r="BO41" i="5"/>
  <c r="BO42" i="5"/>
  <c r="BO43" i="5"/>
  <c r="BO44" i="5"/>
  <c r="BO45" i="5"/>
  <c r="BO46" i="5"/>
  <c r="BO47" i="5"/>
  <c r="BO48" i="5"/>
  <c r="BO49" i="5"/>
  <c r="BO50" i="5"/>
  <c r="BO51" i="5"/>
  <c r="BO52" i="5"/>
  <c r="BO8" i="5"/>
  <c r="BS52" i="5" l="1"/>
  <c r="BR52" i="5"/>
  <c r="BQ52" i="5"/>
  <c r="BP52" i="5"/>
  <c r="BS51" i="5"/>
  <c r="BR51" i="5"/>
  <c r="BQ51" i="5"/>
  <c r="BP51" i="5"/>
  <c r="BS50" i="5"/>
  <c r="BR50" i="5"/>
  <c r="BQ50" i="5"/>
  <c r="BP50" i="5"/>
  <c r="BS49" i="5"/>
  <c r="BR49" i="5"/>
  <c r="BQ49" i="5"/>
  <c r="BP49" i="5"/>
  <c r="BS48" i="5"/>
  <c r="BR48" i="5"/>
  <c r="BQ48" i="5"/>
  <c r="BP48" i="5"/>
  <c r="BS47" i="5"/>
  <c r="BR47" i="5"/>
  <c r="BQ47" i="5"/>
  <c r="BP47" i="5"/>
  <c r="BS46" i="5"/>
  <c r="BR46" i="5"/>
  <c r="BQ46" i="5"/>
  <c r="BP46" i="5"/>
  <c r="BS45" i="5"/>
  <c r="BR45" i="5"/>
  <c r="BQ45" i="5"/>
  <c r="BP45" i="5"/>
  <c r="BS44" i="5"/>
  <c r="BR44" i="5"/>
  <c r="BQ44" i="5"/>
  <c r="BP44" i="5"/>
  <c r="BS43" i="5"/>
  <c r="BR43" i="5"/>
  <c r="BQ43" i="5"/>
  <c r="BP43" i="5"/>
  <c r="BS42" i="5"/>
  <c r="BR42" i="5"/>
  <c r="BQ42" i="5"/>
  <c r="BP42" i="5"/>
  <c r="BS41" i="5"/>
  <c r="BR41" i="5"/>
  <c r="BQ41" i="5"/>
  <c r="BP41" i="5"/>
  <c r="BS40" i="5"/>
  <c r="BR40" i="5"/>
  <c r="BQ40" i="5"/>
  <c r="BP40" i="5"/>
  <c r="BS39" i="5"/>
  <c r="BR39" i="5"/>
  <c r="BQ39" i="5"/>
  <c r="BP39" i="5"/>
  <c r="BS38" i="5"/>
  <c r="BR38" i="5"/>
  <c r="BQ38" i="5"/>
  <c r="BP38" i="5"/>
  <c r="BS37" i="5"/>
  <c r="BR37" i="5"/>
  <c r="BQ37" i="5"/>
  <c r="BP37" i="5"/>
  <c r="BS36" i="5"/>
  <c r="BR36" i="5"/>
  <c r="BQ36" i="5"/>
  <c r="BP36" i="5"/>
  <c r="BS35" i="5"/>
  <c r="BR35" i="5"/>
  <c r="BQ35" i="5"/>
  <c r="BP35" i="5"/>
  <c r="BS34" i="5"/>
  <c r="BR34" i="5"/>
  <c r="BQ34" i="5"/>
  <c r="BP34" i="5"/>
  <c r="BS33" i="5"/>
  <c r="BR33" i="5"/>
  <c r="BQ33" i="5"/>
  <c r="BP33" i="5"/>
  <c r="BS32" i="5"/>
  <c r="BR32" i="5"/>
  <c r="BQ32" i="5"/>
  <c r="BP32" i="5"/>
  <c r="BS31" i="5"/>
  <c r="BR31" i="5"/>
  <c r="BQ31" i="5"/>
  <c r="BP31" i="5"/>
  <c r="BS30" i="5"/>
  <c r="BR30" i="5"/>
  <c r="BQ30" i="5"/>
  <c r="BP30" i="5"/>
  <c r="BS29" i="5"/>
  <c r="BR29" i="5"/>
  <c r="BQ29" i="5"/>
  <c r="BP29" i="5"/>
  <c r="BS28" i="5"/>
  <c r="BR28" i="5"/>
  <c r="BQ28" i="5"/>
  <c r="BP28" i="5"/>
  <c r="BS27" i="5"/>
  <c r="BR27" i="5"/>
  <c r="BQ27" i="5"/>
  <c r="BP27" i="5"/>
  <c r="BS26" i="5"/>
  <c r="BR26" i="5"/>
  <c r="BQ26" i="5"/>
  <c r="BP26" i="5"/>
  <c r="BS25" i="5"/>
  <c r="BR25" i="5"/>
  <c r="BQ25" i="5"/>
  <c r="BP25" i="5"/>
  <c r="BS24" i="5"/>
  <c r="BR24" i="5"/>
  <c r="BQ24" i="5"/>
  <c r="BP24" i="5"/>
  <c r="BS23" i="5"/>
  <c r="BR23" i="5"/>
  <c r="BQ23" i="5"/>
  <c r="BP23" i="5"/>
  <c r="BS22" i="5"/>
  <c r="BR22" i="5"/>
  <c r="BQ22" i="5"/>
  <c r="BP22" i="5"/>
  <c r="BS21" i="5"/>
  <c r="BR21" i="5"/>
  <c r="BQ21" i="5"/>
  <c r="BP21" i="5"/>
  <c r="BS20" i="5"/>
  <c r="BR20" i="5"/>
  <c r="BQ20" i="5"/>
  <c r="BP20" i="5"/>
  <c r="BS19" i="5"/>
  <c r="BR19" i="5"/>
  <c r="BQ19" i="5"/>
  <c r="BP19" i="5"/>
  <c r="BS18" i="5"/>
  <c r="BR18" i="5"/>
  <c r="BQ18" i="5"/>
  <c r="BP18" i="5"/>
  <c r="BS17" i="5"/>
  <c r="BR17" i="5"/>
  <c r="BQ17" i="5"/>
  <c r="BP17" i="5"/>
  <c r="BS16" i="5"/>
  <c r="BR16" i="5"/>
  <c r="BQ16" i="5"/>
  <c r="BP16" i="5"/>
  <c r="BS15" i="5"/>
  <c r="BR15" i="5"/>
  <c r="BQ15" i="5"/>
  <c r="BP15" i="5"/>
  <c r="BS14" i="5"/>
  <c r="BR14" i="5"/>
  <c r="BQ14" i="5"/>
  <c r="BP14" i="5"/>
  <c r="BS13" i="5"/>
  <c r="BR13" i="5"/>
  <c r="BQ13" i="5"/>
  <c r="BP13" i="5"/>
  <c r="BS12" i="5"/>
  <c r="BR12" i="5"/>
  <c r="BQ12" i="5"/>
  <c r="BP12" i="5"/>
  <c r="BS11" i="5"/>
  <c r="BR11" i="5"/>
  <c r="BQ11" i="5"/>
  <c r="BP11" i="5"/>
  <c r="BS10" i="5"/>
  <c r="BR10" i="5"/>
  <c r="BQ10" i="5"/>
  <c r="BP10" i="5"/>
  <c r="BS9" i="5"/>
  <c r="BR9" i="5"/>
  <c r="BQ9" i="5"/>
  <c r="BP9" i="5"/>
  <c r="BS8" i="5"/>
  <c r="BR8" i="5"/>
  <c r="BQ8" i="5"/>
  <c r="BP8" i="5"/>
  <c r="C33" i="6" l="1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B140" i="6"/>
  <c r="G140" i="6" s="1"/>
  <c r="B98" i="6"/>
  <c r="G98" i="6" s="1"/>
  <c r="B49" i="6"/>
  <c r="G49" i="6" s="1"/>
  <c r="B14" i="6"/>
  <c r="B13" i="6"/>
  <c r="B7" i="6"/>
  <c r="B5" i="6"/>
  <c r="B3" i="6"/>
  <c r="D3" i="6"/>
  <c r="B169" i="2"/>
  <c r="H169" i="2" s="1"/>
  <c r="B127" i="2"/>
  <c r="H127" i="2" s="1"/>
  <c r="B71" i="2"/>
  <c r="H71" i="2" s="1"/>
  <c r="A48" i="2"/>
  <c r="C54" i="2"/>
  <c r="C36" i="2"/>
  <c r="C35" i="2"/>
  <c r="C34" i="2"/>
  <c r="C33" i="2"/>
  <c r="C32" i="2"/>
  <c r="C31" i="2"/>
  <c r="C24" i="2"/>
  <c r="C23" i="2"/>
  <c r="C22" i="2"/>
  <c r="C21" i="2"/>
  <c r="C20" i="2"/>
  <c r="C19" i="2"/>
  <c r="C18" i="2"/>
  <c r="C17" i="2"/>
  <c r="C16" i="2"/>
  <c r="D48" i="2"/>
  <c r="C48" i="2"/>
  <c r="B48" i="2"/>
  <c r="B12" i="2"/>
  <c r="B11" i="2"/>
  <c r="B7" i="2"/>
  <c r="B5" i="2"/>
  <c r="B3" i="2"/>
  <c r="D3" i="2"/>
  <c r="B140" i="1"/>
  <c r="H140" i="1" s="1"/>
  <c r="B98" i="1"/>
  <c r="H98" i="1" s="1"/>
  <c r="B56" i="1"/>
  <c r="H56" i="1" s="1"/>
  <c r="B39" i="1"/>
  <c r="H41" i="1"/>
  <c r="G41" i="1"/>
  <c r="F41" i="1"/>
  <c r="E41" i="1"/>
  <c r="D41" i="1"/>
  <c r="C41" i="1"/>
  <c r="B41" i="1"/>
  <c r="H40" i="1"/>
  <c r="G40" i="1"/>
  <c r="F40" i="1"/>
  <c r="E40" i="1"/>
  <c r="D40" i="1"/>
  <c r="C40" i="1"/>
  <c r="B40" i="1"/>
  <c r="H39" i="1"/>
  <c r="G39" i="1"/>
  <c r="F39" i="1"/>
  <c r="E39" i="1"/>
  <c r="D39" i="1"/>
  <c r="C39" i="1"/>
  <c r="I37" i="1"/>
  <c r="I36" i="1"/>
  <c r="I35" i="1"/>
  <c r="I34" i="1"/>
  <c r="I33" i="1"/>
  <c r="I32" i="1"/>
  <c r="I30" i="1"/>
  <c r="I28" i="1"/>
  <c r="I27" i="1"/>
  <c r="J27" i="1" s="1"/>
  <c r="I26" i="1"/>
  <c r="J26" i="1" s="1"/>
  <c r="I25" i="1"/>
  <c r="J25" i="1" s="1"/>
  <c r="I24" i="1"/>
  <c r="J24" i="1" s="1"/>
  <c r="I23" i="1"/>
  <c r="J23" i="1" s="1"/>
  <c r="I21" i="1"/>
  <c r="I20" i="1"/>
  <c r="I19" i="1"/>
  <c r="I18" i="1"/>
  <c r="I17" i="1"/>
  <c r="I16" i="1"/>
  <c r="I15" i="1"/>
  <c r="C10" i="1"/>
  <c r="C9" i="1"/>
  <c r="B7" i="1"/>
  <c r="B5" i="1"/>
  <c r="C5" i="1" s="1"/>
  <c r="B3" i="1"/>
  <c r="E10" i="1"/>
  <c r="E9" i="1"/>
  <c r="H3" i="1"/>
  <c r="J15" i="1" l="1"/>
  <c r="J16" i="1"/>
  <c r="J17" i="1"/>
  <c r="J18" i="1"/>
  <c r="J19" i="1"/>
  <c r="J20" i="1"/>
  <c r="J21" i="1"/>
  <c r="J28" i="1"/>
  <c r="J32" i="1"/>
  <c r="J33" i="1"/>
  <c r="J34" i="1"/>
  <c r="J35" i="1"/>
  <c r="J36" i="1"/>
  <c r="J37" i="1"/>
  <c r="J41" i="1" l="1"/>
  <c r="D16" i="2"/>
  <c r="D17" i="2"/>
  <c r="D18" i="2"/>
  <c r="D19" i="2"/>
  <c r="D20" i="2"/>
  <c r="D21" i="2"/>
  <c r="D22" i="2"/>
  <c r="D23" i="2"/>
  <c r="D24" i="2"/>
  <c r="B25" i="2"/>
  <c r="D31" i="2"/>
  <c r="D32" i="2"/>
  <c r="D33" i="2"/>
  <c r="D34" i="2"/>
  <c r="D35" i="2"/>
  <c r="D36" i="2"/>
  <c r="B37" i="2"/>
  <c r="B44" i="2"/>
  <c r="D54" i="2"/>
  <c r="D37" i="2" l="1"/>
  <c r="D25" i="2"/>
  <c r="D18" i="6" l="1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B34" i="6"/>
  <c r="D34" i="6" l="1"/>
</calcChain>
</file>

<file path=xl/sharedStrings.xml><?xml version="1.0" encoding="utf-8"?>
<sst xmlns="http://schemas.openxmlformats.org/spreadsheetml/2006/main" count="364" uniqueCount="170">
  <si>
    <t>** Evaluacion de Calidad Tecnica DTH Instalaciones</t>
  </si>
  <si>
    <t>Mes evaluado</t>
  </si>
  <si>
    <t>FECHA</t>
  </si>
  <si>
    <t>Pais</t>
  </si>
  <si>
    <t>Gerencia</t>
  </si>
  <si>
    <t>Contratista</t>
  </si>
  <si>
    <t>Area operativa</t>
  </si>
  <si>
    <t>Nombre del Técnico</t>
  </si>
  <si>
    <t>Codigo de Empleado</t>
  </si>
  <si>
    <t>Nombre del Supervisor Técnico</t>
  </si>
  <si>
    <t>AREA</t>
  </si>
  <si>
    <t>POND</t>
  </si>
  <si>
    <t>DESCRIPCION</t>
  </si>
  <si>
    <t>POND.</t>
  </si>
  <si>
    <t>Respuesta</t>
  </si>
  <si>
    <t>ANTENA</t>
  </si>
  <si>
    <t>Instalación de antena en superficie o mastil adecuado</t>
  </si>
  <si>
    <t>Utilizacion de materiales Normado por CLARO</t>
  </si>
  <si>
    <t>Fijación de antena (anclaje) en norma</t>
  </si>
  <si>
    <t>Instalación de LNB en norma</t>
  </si>
  <si>
    <t>Linea vista adecuada</t>
  </si>
  <si>
    <t>Resane de superficie de techo</t>
  </si>
  <si>
    <t>Limpieza del área de trabajo, materiales sobrantes</t>
  </si>
  <si>
    <t>ACOMETIDA EXTERNA</t>
  </si>
  <si>
    <t>Instalación de cable "nuevo", normado por Claro</t>
  </si>
  <si>
    <t>Uso de conectores "nuevos", normados por Claro</t>
  </si>
  <si>
    <t>Correcta aplicacion de conectores</t>
  </si>
  <si>
    <t>Estetica en la instalación del cableado</t>
  </si>
  <si>
    <t>Instalacion de cables RG-06 sin uniones</t>
  </si>
  <si>
    <t>Uso adecuado de grapas</t>
  </si>
  <si>
    <t>Observaciones</t>
  </si>
  <si>
    <t>CLIENTE PERMITE ACCESO</t>
  </si>
  <si>
    <t>ACOMETIDA INTERNA</t>
  </si>
  <si>
    <t>Instalaciones de cada uno de los  de equipos contratados</t>
  </si>
  <si>
    <t>Nivel de calidad ≥ 70%, se encontro: // GT ≥90    // Nivel de calidad óptima</t>
  </si>
  <si>
    <t>Nivel de potencia ≥ 70%, se encontro: // GT≥90   // Nivel de calidad óptima</t>
  </si>
  <si>
    <t>Calcomania colocada en STB</t>
  </si>
  <si>
    <t>Verificacion de paquetes contratados ( Canales)</t>
  </si>
  <si>
    <t>Instalación y conexión adecuada del STB</t>
  </si>
  <si>
    <t>Técnico Evaluado</t>
  </si>
  <si>
    <t>** EVALUACIÓN DE VEHICULOS Y UNIFORMES DTH</t>
  </si>
  <si>
    <t>UNIFORME</t>
  </si>
  <si>
    <t>Resultado</t>
  </si>
  <si>
    <t>Camisa</t>
  </si>
  <si>
    <t>SI</t>
  </si>
  <si>
    <t>Pantalon</t>
  </si>
  <si>
    <t>Botas</t>
  </si>
  <si>
    <t>Gafete</t>
  </si>
  <si>
    <t>Faja</t>
  </si>
  <si>
    <t>Chaleco preventivo</t>
  </si>
  <si>
    <t>Casco de protección</t>
  </si>
  <si>
    <t>Capa Impermeable</t>
  </si>
  <si>
    <t>Aspecto personal</t>
  </si>
  <si>
    <t>TOTAL</t>
  </si>
  <si>
    <t>OBSERVACIONES</t>
  </si>
  <si>
    <t>APLICA</t>
  </si>
  <si>
    <t>VEHICULO</t>
  </si>
  <si>
    <t>Logotipo de empresa</t>
  </si>
  <si>
    <t>Carroceria</t>
  </si>
  <si>
    <t>Porta Escalera</t>
  </si>
  <si>
    <t>Estado de neumaticos</t>
  </si>
  <si>
    <t>Rotulado de unidad</t>
  </si>
  <si>
    <t>Orden y limpieza</t>
  </si>
  <si>
    <t>Pide Vía</t>
  </si>
  <si>
    <t>Luces Laterales</t>
  </si>
  <si>
    <t>Estado de las Llantas</t>
  </si>
  <si>
    <t>Stop Traseros</t>
  </si>
  <si>
    <t>CERTIFICACION</t>
  </si>
  <si>
    <t>Tecnico Certificado Por Claro</t>
  </si>
  <si>
    <t>** Evaluacion de Auditoria DTH Reparaciones e Instalaciones</t>
  </si>
  <si>
    <t>Fecha de Evaluacion</t>
  </si>
  <si>
    <t>Guatemala</t>
  </si>
  <si>
    <t>Actividad:</t>
  </si>
  <si>
    <t>DTH</t>
  </si>
  <si>
    <t>Descripción</t>
  </si>
  <si>
    <t>RESPUESTA</t>
  </si>
  <si>
    <t>Peladora RG-6 homologada</t>
  </si>
  <si>
    <t>Ponchadora RG-6 homologada</t>
  </si>
  <si>
    <t>Brujula</t>
  </si>
  <si>
    <t>Nivel de alto impacto</t>
  </si>
  <si>
    <t xml:space="preserve">Escalera </t>
  </si>
  <si>
    <t>Brocas para concreto</t>
  </si>
  <si>
    <t>Equipo buscador de señal</t>
  </si>
  <si>
    <t>Taladro con rotomartillo</t>
  </si>
  <si>
    <t>Extensión eléctrica de 20 metros</t>
  </si>
  <si>
    <t xml:space="preserve">Guia de acero de 30 metros </t>
  </si>
  <si>
    <t>Corta Alambre</t>
  </si>
  <si>
    <t>Pinza</t>
  </si>
  <si>
    <t xml:space="preserve">Alicate </t>
  </si>
  <si>
    <t>Navaja curva, tipo cuma</t>
  </si>
  <si>
    <t>Desatornilladores</t>
  </si>
  <si>
    <t>Broca pasa muros 12 pulgadas *  1/2 o 3/8</t>
  </si>
  <si>
    <t>Marca temporal</t>
  </si>
  <si>
    <t>Puntuación</t>
  </si>
  <si>
    <t>Área operativa</t>
  </si>
  <si>
    <t>Nombre de técnico</t>
  </si>
  <si>
    <t>Nombre del supervisor</t>
  </si>
  <si>
    <t>Orden de servicio</t>
  </si>
  <si>
    <t>Instalación de antena en superficie o mástil adecuado</t>
  </si>
  <si>
    <t>Utilización de materiales Normado por CLARO</t>
  </si>
  <si>
    <t>Correcta aplicación de conectores</t>
  </si>
  <si>
    <t>Estética en la instalación del cableado</t>
  </si>
  <si>
    <t>Instalaciones de cada uno de los de equipos contratados</t>
  </si>
  <si>
    <t>Nivel de calidad ≥ 70%, se encontró: // GT ≥90 // Nivel de calidad óptima</t>
  </si>
  <si>
    <t>Nivel de potencia ≥ 70%, se encontró: // GT≥90 // Nivel de calidad óptima</t>
  </si>
  <si>
    <t>Evidencia fotográfica</t>
  </si>
  <si>
    <t>Segundo Archivo</t>
  </si>
  <si>
    <t>Brújula</t>
  </si>
  <si>
    <t>Escalera</t>
  </si>
  <si>
    <t>Alicate</t>
  </si>
  <si>
    <t>Destornilladores</t>
  </si>
  <si>
    <t>Broca pasa muros 12 pulgadas * 1/2 o 3/8</t>
  </si>
  <si>
    <t>Pantalón</t>
  </si>
  <si>
    <t>BOTAS</t>
  </si>
  <si>
    <t>Carrocería</t>
  </si>
  <si>
    <t>Estado de neumáticos</t>
  </si>
  <si>
    <t>Técnico Certificado Por Claro</t>
  </si>
  <si>
    <t>Herramienta</t>
  </si>
  <si>
    <t xml:space="preserve">Calidad Tecnica </t>
  </si>
  <si>
    <t>Uniforme</t>
  </si>
  <si>
    <t>Vehiculo</t>
  </si>
  <si>
    <t>Tecnico certificado</t>
  </si>
  <si>
    <t>Guía acerada de 30 metros</t>
  </si>
  <si>
    <t>Dirección de correo electrónico</t>
  </si>
  <si>
    <t>Puntos</t>
  </si>
  <si>
    <t>Orden de Servicio</t>
  </si>
  <si>
    <t>Tecnología</t>
  </si>
  <si>
    <t>PUNTOS</t>
  </si>
  <si>
    <t>Tercer Archivo</t>
  </si>
  <si>
    <t>Tecnologia</t>
  </si>
  <si>
    <t>supervisor</t>
  </si>
  <si>
    <t>WUALFRED MORALES</t>
  </si>
  <si>
    <t>WM</t>
  </si>
  <si>
    <t>NOE NAVAS</t>
  </si>
  <si>
    <t>NN</t>
  </si>
  <si>
    <t>SERGIO LEAL</t>
  </si>
  <si>
    <t>SL</t>
  </si>
  <si>
    <t>SERGIO TORRES</t>
  </si>
  <si>
    <t>ST</t>
  </si>
  <si>
    <t>WILLY SOTO</t>
  </si>
  <si>
    <t>WS</t>
  </si>
  <si>
    <t>Verificación de paquetes contratados    (Canales)</t>
  </si>
  <si>
    <t>CARLOS HERNANDEZ</t>
  </si>
  <si>
    <t>CH</t>
  </si>
  <si>
    <t>HENRY GIRON</t>
  </si>
  <si>
    <t>HG</t>
  </si>
  <si>
    <t>Instalación de cables RG-06 SIn uniones</t>
  </si>
  <si>
    <t>ExtenSIón eléctrica de 20 metros</t>
  </si>
  <si>
    <t>No. SuperviSIon</t>
  </si>
  <si>
    <t>WENNER TOVAR</t>
  </si>
  <si>
    <t>WT</t>
  </si>
  <si>
    <t>Evaluador / Supervisor de Nacel</t>
  </si>
  <si>
    <t>Visto bueno Jefatura de Instalaciones</t>
  </si>
  <si>
    <t xml:space="preserve">   Calidad Nacel</t>
  </si>
  <si>
    <t>FIRMA______________________</t>
  </si>
  <si>
    <t>FIRMA_____________________</t>
  </si>
  <si>
    <t>FIRMA_________________________</t>
  </si>
  <si>
    <t xml:space="preserve">    FIRMA________________</t>
  </si>
  <si>
    <t xml:space="preserve">       Calidad Nacel</t>
  </si>
  <si>
    <t xml:space="preserve">              FIRMA________________</t>
  </si>
  <si>
    <t xml:space="preserve">      Técnico Evaluado</t>
  </si>
  <si>
    <t>MOTO</t>
  </si>
  <si>
    <t>Junio</t>
  </si>
  <si>
    <t>GT METRO</t>
  </si>
  <si>
    <t>LOURDES</t>
  </si>
  <si>
    <t>Marlon betancurt</t>
  </si>
  <si>
    <t>Brayan Plateros</t>
  </si>
  <si>
    <t>N/A</t>
  </si>
  <si>
    <t>https://drive.google.com/open?id=1v7jvKqdNftbI0-zV8B9GmJdWSEhW98a9</t>
  </si>
  <si>
    <t>https://drive.google.com/open?id=1qQX4qfwN51Wh5SoA1p2cPxfzs27QnDL7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</si>
</sst>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0"/>
      <name val="Arial"/>
      <family val="2"/>
    </font>
    <font>
      <i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i/>
      <sz val="10"/>
      <color rgb="FF000000"/>
      <name val="Arial"/>
      <family val="2"/>
    </font>
    <font>
      <i/>
      <sz val="10"/>
      <color theme="1"/>
      <name val="Arial"/>
      <family val="2"/>
    </font>
    <font>
      <i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sz val="2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1" fillId="0" borderId="0"/>
    <xf numFmtId="0" fontId="33" fillId="0" borderId="0" applyNumberFormat="0" applyFill="0" applyBorder="0" applyAlignment="0" applyProtection="0"/>
  </cellStyleXfs>
  <cellXfs count="23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2" fillId="0" borderId="0" xfId="0" applyFont="1"/>
    <xf numFmtId="0" fontId="13" fillId="0" borderId="14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top" wrapText="1"/>
    </xf>
    <xf numFmtId="0" fontId="8" fillId="0" borderId="0" xfId="0" applyFont="1"/>
    <xf numFmtId="164" fontId="13" fillId="0" borderId="0" xfId="1" applyNumberFormat="1" applyFont="1" applyFill="1" applyBorder="1" applyAlignment="1">
      <alignment horizontal="center" vertical="center" wrapText="1"/>
    </xf>
    <xf numFmtId="0" fontId="16" fillId="0" borderId="0" xfId="0" applyFont="1"/>
    <xf numFmtId="0" fontId="15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0" fontId="18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9" fillId="5" borderId="35" xfId="0" applyFont="1" applyFill="1" applyBorder="1" applyAlignment="1">
      <alignment horizontal="center" vertical="center" wrapText="1"/>
    </xf>
    <xf numFmtId="0" fontId="20" fillId="2" borderId="36" xfId="0" applyFont="1" applyFill="1" applyBorder="1" applyAlignment="1">
      <alignment horizontal="center" vertical="center" wrapText="1"/>
    </xf>
    <xf numFmtId="0" fontId="19" fillId="2" borderId="35" xfId="0" applyFont="1" applyFill="1" applyBorder="1" applyAlignment="1">
      <alignment horizontal="center" vertical="center" wrapText="1"/>
    </xf>
    <xf numFmtId="0" fontId="21" fillId="0" borderId="37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1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 wrapText="1"/>
    </xf>
    <xf numFmtId="0" fontId="24" fillId="0" borderId="3" xfId="0" applyFont="1" applyBorder="1"/>
    <xf numFmtId="0" fontId="25" fillId="3" borderId="38" xfId="0" applyFont="1" applyFill="1" applyBorder="1" applyAlignment="1">
      <alignment horizontal="left" vertical="center"/>
    </xf>
    <xf numFmtId="1" fontId="14" fillId="0" borderId="2" xfId="0" applyNumberFormat="1" applyFont="1" applyBorder="1"/>
    <xf numFmtId="0" fontId="8" fillId="0" borderId="0" xfId="0" applyFont="1" applyAlignment="1">
      <alignment horizontal="left" vertical="top"/>
    </xf>
    <xf numFmtId="0" fontId="25" fillId="3" borderId="0" xfId="0" applyFont="1" applyFill="1" applyAlignment="1">
      <alignment horizontal="right" vertical="center"/>
    </xf>
    <xf numFmtId="0" fontId="27" fillId="3" borderId="0" xfId="0" applyFont="1" applyFill="1" applyAlignment="1">
      <alignment horizontal="center" vertical="center" wrapText="1"/>
    </xf>
    <xf numFmtId="0" fontId="20" fillId="2" borderId="35" xfId="0" applyFont="1" applyFill="1" applyBorder="1" applyAlignment="1">
      <alignment horizontal="center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3" borderId="1" xfId="0" applyFont="1" applyFill="1" applyBorder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1" fontId="22" fillId="0" borderId="0" xfId="0" applyNumberFormat="1" applyFont="1" applyAlignment="1">
      <alignment horizontal="right" vertical="center" wrapText="1"/>
    </xf>
    <xf numFmtId="0" fontId="21" fillId="0" borderId="1" xfId="0" applyFont="1" applyBorder="1" applyAlignment="1">
      <alignment vertical="center" wrapText="1"/>
    </xf>
    <xf numFmtId="0" fontId="21" fillId="0" borderId="1" xfId="0" applyFont="1" applyBorder="1"/>
    <xf numFmtId="0" fontId="7" fillId="0" borderId="0" xfId="0" applyFont="1" applyAlignment="1">
      <alignment horizontal="left" vertical="center"/>
    </xf>
    <xf numFmtId="14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/>
    <xf numFmtId="0" fontId="19" fillId="2" borderId="5" xfId="2" applyFont="1" applyFill="1" applyBorder="1" applyAlignment="1">
      <alignment horizontal="center" vertical="center" wrapText="1"/>
    </xf>
    <xf numFmtId="0" fontId="19" fillId="2" borderId="6" xfId="2" applyFont="1" applyFill="1" applyBorder="1" applyAlignment="1">
      <alignment horizontal="center" vertical="center" wrapText="1"/>
    </xf>
    <xf numFmtId="0" fontId="21" fillId="0" borderId="45" xfId="2" applyFont="1" applyBorder="1" applyAlignment="1">
      <alignment horizontal="left" vertical="center"/>
    </xf>
    <xf numFmtId="0" fontId="21" fillId="0" borderId="21" xfId="2" applyFont="1" applyBorder="1" applyAlignment="1">
      <alignment horizontal="left" vertical="center"/>
    </xf>
    <xf numFmtId="0" fontId="21" fillId="3" borderId="28" xfId="2" applyFont="1" applyFill="1" applyBorder="1" applyAlignment="1">
      <alignment vertical="center"/>
    </xf>
    <xf numFmtId="0" fontId="27" fillId="0" borderId="7" xfId="2" applyFont="1" applyBorder="1" applyAlignment="1">
      <alignment horizontal="left" vertical="center"/>
    </xf>
    <xf numFmtId="0" fontId="27" fillId="0" borderId="0" xfId="2" applyFont="1" applyAlignment="1">
      <alignment horizontal="left" vertical="center"/>
    </xf>
    <xf numFmtId="0" fontId="32" fillId="0" borderId="0" xfId="0" applyFont="1"/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19" fillId="2" borderId="36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left" vertical="center"/>
    </xf>
    <xf numFmtId="9" fontId="0" fillId="0" borderId="0" xfId="1" applyFont="1"/>
    <xf numFmtId="9" fontId="0" fillId="0" borderId="0" xfId="1" applyFont="1" applyBorder="1"/>
    <xf numFmtId="0" fontId="11" fillId="2" borderId="8" xfId="2" applyFont="1" applyFill="1" applyBorder="1" applyAlignment="1">
      <alignment horizontal="center" vertical="center"/>
    </xf>
    <xf numFmtId="0" fontId="7" fillId="0" borderId="39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3" fillId="0" borderId="13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1" fontId="14" fillId="0" borderId="0" xfId="0" applyNumberFormat="1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9" fillId="7" borderId="1" xfId="0" applyFont="1" applyFill="1" applyBorder="1" applyAlignment="1">
      <alignment horizontal="center" vertical="center" wrapText="1"/>
    </xf>
    <xf numFmtId="0" fontId="19" fillId="7" borderId="5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7" borderId="39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24" fillId="0" borderId="48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7" xfId="0" applyBorder="1" applyAlignment="1">
      <alignment horizontal="center"/>
    </xf>
    <xf numFmtId="1" fontId="22" fillId="4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" fontId="22" fillId="4" borderId="1" xfId="0" applyNumberFormat="1" applyFont="1" applyFill="1" applyBorder="1" applyAlignment="1">
      <alignment horizontal="center" vertical="center"/>
    </xf>
    <xf numFmtId="1" fontId="14" fillId="0" borderId="39" xfId="0" applyNumberFormat="1" applyFont="1" applyBorder="1" applyAlignment="1">
      <alignment horizontal="center"/>
    </xf>
    <xf numFmtId="1" fontId="22" fillId="4" borderId="37" xfId="0" applyNumberFormat="1" applyFont="1" applyFill="1" applyBorder="1" applyAlignment="1">
      <alignment horizontal="center" vertical="center" wrapText="1"/>
    </xf>
    <xf numFmtId="1" fontId="22" fillId="4" borderId="35" xfId="0" applyNumberFormat="1" applyFont="1" applyFill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 wrapText="1"/>
    </xf>
    <xf numFmtId="1" fontId="28" fillId="0" borderId="1" xfId="0" applyNumberFormat="1" applyFont="1" applyBorder="1" applyAlignment="1">
      <alignment horizontal="center" vertical="center" wrapText="1"/>
    </xf>
    <xf numFmtId="1" fontId="30" fillId="4" borderId="1" xfId="0" applyNumberFormat="1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39" xfId="0" applyFont="1" applyFill="1" applyBorder="1" applyAlignment="1">
      <alignment horizontal="center"/>
    </xf>
    <xf numFmtId="0" fontId="30" fillId="4" borderId="34" xfId="2" applyFont="1" applyFill="1" applyBorder="1" applyAlignment="1">
      <alignment horizontal="center" vertical="center"/>
    </xf>
    <xf numFmtId="0" fontId="30" fillId="4" borderId="46" xfId="2" applyFont="1" applyFill="1" applyBorder="1" applyAlignment="1">
      <alignment horizontal="center" vertical="center"/>
    </xf>
    <xf numFmtId="0" fontId="30" fillId="4" borderId="47" xfId="2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4" fontId="0" fillId="8" borderId="0" xfId="0" applyNumberFormat="1" applyFill="1" applyAlignment="1">
      <alignment horizontal="center" vertical="center" wrapText="1"/>
    </xf>
    <xf numFmtId="14" fontId="19" fillId="7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37" fillId="0" borderId="0" xfId="0" applyFont="1"/>
    <xf numFmtId="0" fontId="0" fillId="6" borderId="0" xfId="0" applyFill="1" applyAlignment="1">
      <alignment horizontal="center" vertical="center" wrapText="1"/>
    </xf>
    <xf numFmtId="0" fontId="6" fillId="0" borderId="9" xfId="0" applyFont="1" applyBorder="1" applyAlignment="1">
      <alignment vertical="top"/>
    </xf>
    <xf numFmtId="0" fontId="6" fillId="0" borderId="31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29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6" fillId="0" borderId="33" xfId="0" applyFont="1" applyBorder="1" applyAlignment="1">
      <alignment vertical="top"/>
    </xf>
    <xf numFmtId="0" fontId="8" fillId="0" borderId="38" xfId="0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8" fillId="0" borderId="40" xfId="0" applyFont="1" applyBorder="1" applyAlignment="1">
      <alignment vertical="top"/>
    </xf>
    <xf numFmtId="0" fontId="8" fillId="0" borderId="42" xfId="0" applyFont="1" applyBorder="1" applyAlignment="1">
      <alignment vertical="top"/>
    </xf>
    <xf numFmtId="0" fontId="8" fillId="0" borderId="34" xfId="0" applyFont="1" applyBorder="1" applyAlignment="1">
      <alignment vertical="top"/>
    </xf>
    <xf numFmtId="0" fontId="8" fillId="0" borderId="43" xfId="0" applyFont="1" applyBorder="1" applyAlignment="1">
      <alignment vertical="top"/>
    </xf>
    <xf numFmtId="0" fontId="0" fillId="0" borderId="58" xfId="0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14" fontId="6" fillId="0" borderId="1" xfId="0" applyNumberFormat="1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14" fontId="24" fillId="0" borderId="48" xfId="0" applyNumberFormat="1" applyFont="1" applyBorder="1" applyAlignment="1">
      <alignment horizontal="center" vertical="center"/>
    </xf>
    <xf numFmtId="0" fontId="33" fillId="0" borderId="48" xfId="3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 vertical="center" wrapText="1"/>
    </xf>
    <xf numFmtId="0" fontId="33" fillId="0" borderId="0" xfId="3"/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4" fontId="24" fillId="0" borderId="48" xfId="0" applyNumberFormat="1" applyFont="1" applyBorder="1" applyAlignment="1">
      <alignment horizontal="center" vertical="center" wrapText="1"/>
    </xf>
    <xf numFmtId="0" fontId="33" fillId="0" borderId="48" xfId="3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textRotation="90" wrapText="1"/>
    </xf>
    <xf numFmtId="0" fontId="6" fillId="0" borderId="15" xfId="0" applyFont="1" applyBorder="1" applyAlignment="1">
      <alignment horizontal="center" vertical="center" wrapText="1"/>
    </xf>
    <xf numFmtId="9" fontId="5" fillId="0" borderId="0" xfId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5" fillId="0" borderId="13" xfId="0" applyFont="1" applyBorder="1" applyAlignment="1">
      <alignment horizontal="center" vertical="center" wrapText="1"/>
    </xf>
    <xf numFmtId="0" fontId="5" fillId="0" borderId="20" xfId="1" applyNumberFormat="1" applyFont="1" applyFill="1" applyBorder="1" applyAlignment="1">
      <alignment horizontal="center" vertical="center" wrapText="1"/>
    </xf>
    <xf numFmtId="0" fontId="5" fillId="0" borderId="27" xfId="1" applyNumberFormat="1" applyFont="1" applyFill="1" applyBorder="1" applyAlignment="1">
      <alignment horizontal="center" vertical="center" wrapText="1"/>
    </xf>
    <xf numFmtId="0" fontId="5" fillId="0" borderId="14" xfId="1" applyNumberFormat="1" applyFont="1" applyFill="1" applyBorder="1" applyAlignment="1">
      <alignment horizontal="center" vertical="center" wrapText="1"/>
    </xf>
    <xf numFmtId="0" fontId="5" fillId="0" borderId="21" xfId="1" applyNumberFormat="1" applyFont="1" applyFill="1" applyBorder="1" applyAlignment="1">
      <alignment horizontal="center" vertical="center" wrapText="1"/>
    </xf>
    <xf numFmtId="0" fontId="5" fillId="0" borderId="28" xfId="1" applyNumberFormat="1" applyFont="1" applyFill="1" applyBorder="1" applyAlignment="1">
      <alignment horizontal="center" vertical="center" wrapText="1"/>
    </xf>
    <xf numFmtId="0" fontId="5" fillId="0" borderId="13" xfId="1" applyNumberFormat="1" applyFont="1" applyFill="1" applyBorder="1" applyAlignment="1">
      <alignment horizontal="center" vertical="center" wrapText="1"/>
    </xf>
    <xf numFmtId="0" fontId="39" fillId="3" borderId="0" xfId="0" applyFont="1" applyFill="1" applyAlignment="1">
      <alignment vertical="center"/>
    </xf>
    <xf numFmtId="1" fontId="30" fillId="4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10" fillId="2" borderId="7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15" xfId="0" applyFont="1" applyBorder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8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18" xfId="0" applyFont="1" applyBorder="1" applyAlignment="1">
      <alignment horizontal="left" vertical="top" wrapText="1"/>
    </xf>
    <xf numFmtId="0" fontId="5" fillId="0" borderId="19" xfId="0" applyFont="1" applyBorder="1" applyAlignment="1">
      <alignment horizontal="left" vertical="top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5" fillId="0" borderId="24" xfId="0" applyFont="1" applyBorder="1" applyAlignment="1">
      <alignment horizontal="left" vertical="top" wrapText="1"/>
    </xf>
    <xf numFmtId="0" fontId="5" fillId="0" borderId="25" xfId="0" applyFont="1" applyBorder="1" applyAlignment="1">
      <alignment horizontal="left" vertical="top" wrapText="1"/>
    </xf>
    <xf numFmtId="0" fontId="5" fillId="0" borderId="2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0" xfId="0" applyFont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17" fillId="0" borderId="0" xfId="0" applyFont="1" applyAlignment="1">
      <alignment horizontal="center"/>
    </xf>
    <xf numFmtId="0" fontId="37" fillId="0" borderId="0" xfId="0" applyFont="1" applyAlignment="1">
      <alignment horizontal="right"/>
    </xf>
    <xf numFmtId="0" fontId="8" fillId="0" borderId="38" xfId="0" applyFont="1" applyBorder="1" applyAlignment="1">
      <alignment horizontal="left" vertical="top"/>
    </xf>
    <xf numFmtId="0" fontId="8" fillId="0" borderId="2" xfId="0" applyFont="1" applyBorder="1" applyAlignment="1">
      <alignment horizontal="left" vertical="top"/>
    </xf>
    <xf numFmtId="0" fontId="8" fillId="0" borderId="40" xfId="0" applyFont="1" applyBorder="1" applyAlignment="1">
      <alignment horizontal="left" vertical="top"/>
    </xf>
    <xf numFmtId="0" fontId="8" fillId="0" borderId="41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0" borderId="4" xfId="0" applyFont="1" applyBorder="1" applyAlignment="1">
      <alignment horizontal="left" vertical="top"/>
    </xf>
    <xf numFmtId="0" fontId="8" fillId="0" borderId="42" xfId="0" applyFont="1" applyBorder="1" applyAlignment="1">
      <alignment horizontal="left" vertical="top"/>
    </xf>
    <xf numFmtId="0" fontId="8" fillId="0" borderId="34" xfId="0" applyFont="1" applyBorder="1" applyAlignment="1">
      <alignment horizontal="left" vertical="top"/>
    </xf>
    <xf numFmtId="0" fontId="8" fillId="0" borderId="43" xfId="0" applyFont="1" applyBorder="1" applyAlignment="1">
      <alignment horizontal="left" vertical="top"/>
    </xf>
    <xf numFmtId="0" fontId="8" fillId="0" borderId="41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8" fillId="0" borderId="4" xfId="0" applyFont="1" applyBorder="1" applyAlignment="1">
      <alignment horizontal="center" vertical="top"/>
    </xf>
    <xf numFmtId="0" fontId="37" fillId="0" borderId="0" xfId="0" applyFont="1"/>
    <xf numFmtId="0" fontId="3" fillId="6" borderId="7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44" xfId="0" applyFont="1" applyFill="1" applyBorder="1" applyAlignment="1">
      <alignment horizontal="center"/>
    </xf>
    <xf numFmtId="14" fontId="24" fillId="0" borderId="48" xfId="0" applyNumberFormat="1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33" fillId="0" borderId="48" xfId="3" applyBorder="1" applyAlignment="1">
      <alignment horizontal="center" vertical="center"/>
    </xf>
  </cellXfs>
  <cellStyles count="4">
    <cellStyle name="Hipervínculo" xfId="3" builtinId="8"/>
    <cellStyle name="Normal" xfId="0" builtinId="0"/>
    <cellStyle name="Normal 2" xfId="2" xr:uid="{00000000-0005-0000-0000-000002000000}"/>
    <cellStyle name="Porcentaje" xfId="1" builtinId="5"/>
  </cellStyles>
  <dxfs count="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2" formatCode="0.00"/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383326</xdr:colOff>
      <xdr:row>51</xdr:row>
      <xdr:rowOff>156882</xdr:rowOff>
    </xdr:from>
    <xdr:to>
      <xdr:col>2</xdr:col>
      <xdr:colOff>437031</xdr:colOff>
      <xdr:row>54</xdr:row>
      <xdr:rowOff>79027</xdr:rowOff>
    </xdr:to>
    <xdr:pic>
      <xdr:nvPicPr>
        <xdr:cNvPr id="7" name="7 Image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12954000"/>
          <a:ext cx="2205234" cy="706557"/>
        </a:xfrm>
        <a:prstGeom prst="rect">
          <a:avLst/>
        </a:prstGeom>
      </xdr:spPr>
    </xdr:pic>
    <xdr:clientData/>
  </xdr:twoCellAnchor>
  <xdr:twoCellAnchor>
    <xdr:from>
      <xdr:col>0</xdr:col>
      <xdr:colOff>728380</xdr:colOff>
      <xdr:row>57</xdr:row>
      <xdr:rowOff>932</xdr:rowOff>
    </xdr:from>
    <xdr:to>
      <xdr:col>8</xdr:col>
      <xdr:colOff>551887</xdr:colOff>
      <xdr:row>90</xdr:row>
      <xdr:rowOff>64433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28380" y="14153961"/>
          <a:ext cx="6513419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383326</xdr:colOff>
      <xdr:row>92</xdr:row>
      <xdr:rowOff>173418</xdr:rowOff>
    </xdr:from>
    <xdr:ext cx="2182822" cy="698914"/>
    <xdr:pic>
      <xdr:nvPicPr>
        <xdr:cNvPr id="10" name="7 Image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20993947"/>
          <a:ext cx="2182822" cy="698914"/>
        </a:xfrm>
        <a:prstGeom prst="rect">
          <a:avLst/>
        </a:prstGeom>
      </xdr:spPr>
    </xdr:pic>
    <xdr:clientData/>
  </xdr:oneCellAnchor>
  <xdr:twoCellAnchor>
    <xdr:from>
      <xdr:col>0</xdr:col>
      <xdr:colOff>963706</xdr:colOff>
      <xdr:row>98</xdr:row>
      <xdr:rowOff>79374</xdr:rowOff>
    </xdr:from>
    <xdr:to>
      <xdr:col>8</xdr:col>
      <xdr:colOff>787213</xdr:colOff>
      <xdr:row>131</xdr:row>
      <xdr:rowOff>142875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3706" y="25864109"/>
          <a:ext cx="6334125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383326</xdr:colOff>
      <xdr:row>135</xdr:row>
      <xdr:rowOff>83772</xdr:rowOff>
    </xdr:from>
    <xdr:ext cx="2182822" cy="698914"/>
    <xdr:pic>
      <xdr:nvPicPr>
        <xdr:cNvPr id="14" name="7 Image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29308713"/>
          <a:ext cx="2182822" cy="698914"/>
        </a:xfrm>
        <a:prstGeom prst="rect">
          <a:avLst/>
        </a:prstGeom>
      </xdr:spPr>
    </xdr:pic>
    <xdr:clientData/>
  </xdr:oneCellAnchor>
  <xdr:twoCellAnchor>
    <xdr:from>
      <xdr:col>0</xdr:col>
      <xdr:colOff>963706</xdr:colOff>
      <xdr:row>140</xdr:row>
      <xdr:rowOff>79374</xdr:rowOff>
    </xdr:from>
    <xdr:to>
      <xdr:col>8</xdr:col>
      <xdr:colOff>787213</xdr:colOff>
      <xdr:row>173</xdr:row>
      <xdr:rowOff>142875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63706" y="25864109"/>
          <a:ext cx="6334125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56030</xdr:colOff>
      <xdr:row>0</xdr:row>
      <xdr:rowOff>33617</xdr:rowOff>
    </xdr:from>
    <xdr:to>
      <xdr:col>1</xdr:col>
      <xdr:colOff>627530</xdr:colOff>
      <xdr:row>1</xdr:row>
      <xdr:rowOff>62482</xdr:rowOff>
    </xdr:to>
    <xdr:pic>
      <xdr:nvPicPr>
        <xdr:cNvPr id="16" name="Picture 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56030" y="33617"/>
          <a:ext cx="1557618" cy="4322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</xdr:row>
          <xdr:rowOff>171450</xdr:rowOff>
        </xdr:from>
        <xdr:to>
          <xdr:col>9</xdr:col>
          <xdr:colOff>47625</xdr:colOff>
          <xdr:row>6</xdr:row>
          <xdr:rowOff>161925</xdr:rowOff>
        </xdr:to>
        <xdr:sp macro="" textlink="">
          <xdr:nvSpPr>
            <xdr:cNvPr id="3074" name="CB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291353</xdr:colOff>
      <xdr:row>47</xdr:row>
      <xdr:rowOff>22413</xdr:rowOff>
    </xdr:from>
    <xdr:to>
      <xdr:col>6</xdr:col>
      <xdr:colOff>728382</xdr:colOff>
      <xdr:row>48</xdr:row>
      <xdr:rowOff>44825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73706" y="9513795"/>
          <a:ext cx="1199029" cy="212912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JAFET</a:t>
          </a:r>
          <a:r>
            <a:rPr lang="es-GT" sz="1100" baseline="0"/>
            <a:t> MEOÑO</a:t>
          </a:r>
          <a:endParaRPr lang="es-GT" sz="1100"/>
        </a:p>
      </xdr:txBody>
    </xdr:sp>
    <xdr:clientData/>
  </xdr:twoCellAnchor>
  <xdr:twoCellAnchor>
    <xdr:from>
      <xdr:col>8</xdr:col>
      <xdr:colOff>369794</xdr:colOff>
      <xdr:row>47</xdr:row>
      <xdr:rowOff>44824</xdr:rowOff>
    </xdr:from>
    <xdr:to>
      <xdr:col>10</xdr:col>
      <xdr:colOff>235323</xdr:colOff>
      <xdr:row>48</xdr:row>
      <xdr:rowOff>56030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059706" y="9536206"/>
          <a:ext cx="1311088" cy="201706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INGRID</a:t>
          </a:r>
          <a:r>
            <a:rPr lang="es-GT" sz="1100" baseline="0"/>
            <a:t> MARBELLA</a:t>
          </a:r>
          <a:endParaRPr lang="es-G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124386</xdr:colOff>
      <xdr:row>64</xdr:row>
      <xdr:rowOff>130549</xdr:rowOff>
    </xdr:from>
    <xdr:to>
      <xdr:col>1</xdr:col>
      <xdr:colOff>1003938</xdr:colOff>
      <xdr:row>68</xdr:row>
      <xdr:rowOff>114082</xdr:rowOff>
    </xdr:to>
    <xdr:pic>
      <xdr:nvPicPr>
        <xdr:cNvPr id="5" name="5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124386" y="16760078"/>
          <a:ext cx="2818170" cy="857592"/>
        </a:xfrm>
        <a:prstGeom prst="rect">
          <a:avLst/>
        </a:prstGeom>
      </xdr:spPr>
    </xdr:pic>
    <xdr:clientData/>
  </xdr:twoCellAnchor>
  <xdr:twoCellAnchor>
    <xdr:from>
      <xdr:col>0</xdr:col>
      <xdr:colOff>829233</xdr:colOff>
      <xdr:row>72</xdr:row>
      <xdr:rowOff>22413</xdr:rowOff>
    </xdr:from>
    <xdr:to>
      <xdr:col>7</xdr:col>
      <xdr:colOff>593912</xdr:colOff>
      <xdr:row>114</xdr:row>
      <xdr:rowOff>78442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29233" y="16607119"/>
          <a:ext cx="7373473" cy="6645088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44824</xdr:colOff>
      <xdr:row>0</xdr:row>
      <xdr:rowOff>33618</xdr:rowOff>
    </xdr:from>
    <xdr:to>
      <xdr:col>1</xdr:col>
      <xdr:colOff>44824</xdr:colOff>
      <xdr:row>1</xdr:row>
      <xdr:rowOff>168220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44824" y="33618"/>
          <a:ext cx="1938618" cy="538014"/>
        </a:xfrm>
        <a:prstGeom prst="rect">
          <a:avLst/>
        </a:prstGeom>
      </xdr:spPr>
    </xdr:pic>
    <xdr:clientData/>
  </xdr:twoCellAnchor>
  <xdr:oneCellAnchor>
    <xdr:from>
      <xdr:col>0</xdr:col>
      <xdr:colOff>383326</xdr:colOff>
      <xdr:row>122</xdr:row>
      <xdr:rowOff>151008</xdr:rowOff>
    </xdr:from>
    <xdr:ext cx="2182822" cy="698914"/>
    <xdr:pic>
      <xdr:nvPicPr>
        <xdr:cNvPr id="9" name="7 Image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21115533"/>
          <a:ext cx="2182822" cy="698914"/>
        </a:xfrm>
        <a:prstGeom prst="rect">
          <a:avLst/>
        </a:prstGeom>
      </xdr:spPr>
    </xdr:pic>
    <xdr:clientData/>
  </xdr:oneCellAnchor>
  <xdr:twoCellAnchor>
    <xdr:from>
      <xdr:col>0</xdr:col>
      <xdr:colOff>963706</xdr:colOff>
      <xdr:row>127</xdr:row>
      <xdr:rowOff>79374</xdr:rowOff>
    </xdr:from>
    <xdr:to>
      <xdr:col>7</xdr:col>
      <xdr:colOff>459441</xdr:colOff>
      <xdr:row>160</xdr:row>
      <xdr:rowOff>89647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706" y="25740845"/>
          <a:ext cx="7104529" cy="6296773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383326</xdr:colOff>
      <xdr:row>164</xdr:row>
      <xdr:rowOff>151008</xdr:rowOff>
    </xdr:from>
    <xdr:ext cx="2182822" cy="698914"/>
    <xdr:pic>
      <xdr:nvPicPr>
        <xdr:cNvPr id="12" name="7 Image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29326083"/>
          <a:ext cx="2182822" cy="698914"/>
        </a:xfrm>
        <a:prstGeom prst="rect">
          <a:avLst/>
        </a:prstGeom>
      </xdr:spPr>
    </xdr:pic>
    <xdr:clientData/>
  </xdr:oneCellAnchor>
  <xdr:twoCellAnchor>
    <xdr:from>
      <xdr:col>0</xdr:col>
      <xdr:colOff>963706</xdr:colOff>
      <xdr:row>169</xdr:row>
      <xdr:rowOff>79374</xdr:rowOff>
    </xdr:from>
    <xdr:to>
      <xdr:col>7</xdr:col>
      <xdr:colOff>627530</xdr:colOff>
      <xdr:row>203</xdr:row>
      <xdr:rowOff>44824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63706" y="33954756"/>
          <a:ext cx="7272618" cy="644245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123266</xdr:colOff>
      <xdr:row>45</xdr:row>
      <xdr:rowOff>0</xdr:rowOff>
    </xdr:from>
    <xdr:ext cx="2465293" cy="768369"/>
    <xdr:pic>
      <xdr:nvPicPr>
        <xdr:cNvPr id="7" name="12 Image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123266" y="11777382"/>
          <a:ext cx="2465293" cy="768369"/>
        </a:xfrm>
        <a:prstGeom prst="rect">
          <a:avLst/>
        </a:prstGeom>
      </xdr:spPr>
    </xdr:pic>
    <xdr:clientData/>
  </xdr:oneCellAnchor>
  <xdr:twoCellAnchor>
    <xdr:from>
      <xdr:col>0</xdr:col>
      <xdr:colOff>649940</xdr:colOff>
      <xdr:row>50</xdr:row>
      <xdr:rowOff>1867</xdr:rowOff>
    </xdr:from>
    <xdr:to>
      <xdr:col>6</xdr:col>
      <xdr:colOff>750794</xdr:colOff>
      <xdr:row>87</xdr:row>
      <xdr:rowOff>156648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49940" y="12944661"/>
          <a:ext cx="7586383" cy="720328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56029</xdr:colOff>
      <xdr:row>0</xdr:row>
      <xdr:rowOff>44824</xdr:rowOff>
    </xdr:from>
    <xdr:to>
      <xdr:col>0</xdr:col>
      <xdr:colOff>2034550</xdr:colOff>
      <xdr:row>1</xdr:row>
      <xdr:rowOff>190500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56029" y="44824"/>
          <a:ext cx="1978521" cy="549088"/>
        </a:xfrm>
        <a:prstGeom prst="rect">
          <a:avLst/>
        </a:prstGeom>
      </xdr:spPr>
    </xdr:pic>
    <xdr:clientData/>
  </xdr:twoCellAnchor>
  <xdr:oneCellAnchor>
    <xdr:from>
      <xdr:col>0</xdr:col>
      <xdr:colOff>383326</xdr:colOff>
      <xdr:row>93</xdr:row>
      <xdr:rowOff>151008</xdr:rowOff>
    </xdr:from>
    <xdr:ext cx="2182822" cy="698914"/>
    <xdr:pic>
      <xdr:nvPicPr>
        <xdr:cNvPr id="11" name="7 Image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21115533"/>
          <a:ext cx="2182822" cy="698914"/>
        </a:xfrm>
        <a:prstGeom prst="rect">
          <a:avLst/>
        </a:prstGeom>
      </xdr:spPr>
    </xdr:pic>
    <xdr:clientData/>
  </xdr:oneCellAnchor>
  <xdr:twoCellAnchor>
    <xdr:from>
      <xdr:col>0</xdr:col>
      <xdr:colOff>963706</xdr:colOff>
      <xdr:row>98</xdr:row>
      <xdr:rowOff>79374</xdr:rowOff>
    </xdr:from>
    <xdr:to>
      <xdr:col>7</xdr:col>
      <xdr:colOff>11206</xdr:colOff>
      <xdr:row>131</xdr:row>
      <xdr:rowOff>142875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963706" y="22379080"/>
          <a:ext cx="7295029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383326</xdr:colOff>
      <xdr:row>135</xdr:row>
      <xdr:rowOff>151008</xdr:rowOff>
    </xdr:from>
    <xdr:ext cx="2182822" cy="698914"/>
    <xdr:pic>
      <xdr:nvPicPr>
        <xdr:cNvPr id="13" name="7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6" y="29326083"/>
          <a:ext cx="2182822" cy="698914"/>
        </a:xfrm>
        <a:prstGeom prst="rect">
          <a:avLst/>
        </a:prstGeom>
      </xdr:spPr>
    </xdr:pic>
    <xdr:clientData/>
  </xdr:oneCellAnchor>
  <xdr:twoCellAnchor>
    <xdr:from>
      <xdr:col>0</xdr:col>
      <xdr:colOff>963707</xdr:colOff>
      <xdr:row>140</xdr:row>
      <xdr:rowOff>79374</xdr:rowOff>
    </xdr:from>
    <xdr:to>
      <xdr:col>7</xdr:col>
      <xdr:colOff>89648</xdr:colOff>
      <xdr:row>173</xdr:row>
      <xdr:rowOff>142875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963707" y="30592992"/>
          <a:ext cx="7373470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AUDITORIAS%20A%20SUPERVISIONES/FORMULARIOS%20DE%20AUDITORIAS%20DE%20CAMPO/4VEHICULOS%20Y%20UNIFORMES%20V3.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liva.francis/Desktop/2017/AUDITORIAS%20PERSONAL%20INTERNO/CALIDAD%20DE%20LA%20INSTALACION%202017%20V1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COBRE + ADSL + HFC"/>
      <sheetName val="DTH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AUDITORIA"/>
      <sheetName val="Sheet1"/>
      <sheetName val="Hoja1"/>
      <sheetName val="HFC"/>
      <sheetName val="CALTEC HFC"/>
      <sheetName val="VUC HFC"/>
      <sheetName val="TOOLS HFC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open?id=1qQX4qfwN51Wh5SoA1p2cPxfzs27QnDL7" TargetMode="External"/><Relationship Id="rId1" Type="http://schemas.openxmlformats.org/officeDocument/2006/relationships/hyperlink" Target="https://drive.google.com/open?id=1v7jvKqdNftbI0-zV8B9GmJdWSEhW98a9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BZ52"/>
  <sheetViews>
    <sheetView tabSelected="1" zoomScale="70" zoomScaleNormal="70" workbookViewId="0">
      <pane ySplit="2" topLeftCell="A3" activePane="bottomLeft" state="frozen"/>
      <selection activeCell="B22" sqref="B22:E24"/>
      <selection pane="bottomLeft" activeCell="A3" sqref="A3"/>
    </sheetView>
  </sheetViews>
  <sheetFormatPr baseColWidth="10" defaultRowHeight="15" x14ac:dyDescent="0.25"/>
  <cols>
    <col min="1" max="1" width="12.5703125" style="90" customWidth="1"/>
    <col min="2" max="2" width="15.5703125" style="132" bestFit="1" customWidth="1"/>
    <col min="3" max="3" width="11.28515625" style="90" customWidth="1"/>
    <col min="4" max="4" width="10.7109375" style="90" bestFit="1" customWidth="1"/>
    <col min="5" max="5" width="11.85546875" style="90" customWidth="1"/>
    <col min="6" max="6" width="11.140625" style="90" customWidth="1"/>
    <col min="7" max="7" width="9.5703125" style="90" customWidth="1"/>
    <col min="8" max="8" width="11" style="90" customWidth="1"/>
    <col min="9" max="9" width="13.42578125" style="90" customWidth="1"/>
    <col min="10" max="10" width="12.5703125" style="90" customWidth="1"/>
    <col min="11" max="11" width="10.85546875" style="90" customWidth="1"/>
    <col min="12" max="12" width="11" style="90" customWidth="1"/>
    <col min="13" max="13" width="11.140625" style="90" customWidth="1"/>
    <col min="14" max="14" width="10.85546875" style="90" customWidth="1"/>
    <col min="15" max="15" width="12.42578125" style="90" customWidth="1"/>
    <col min="16" max="16" width="10.5703125" style="90" customWidth="1"/>
    <col min="17" max="17" width="13" style="90" customWidth="1"/>
    <col min="18" max="22" width="10.85546875" style="90" customWidth="1"/>
    <col min="23" max="23" width="10" style="90" customWidth="1"/>
    <col min="24" max="24" width="10.7109375" style="90" customWidth="1"/>
    <col min="25" max="25" width="11" style="90" customWidth="1"/>
    <col min="26" max="27" width="11.28515625" style="90" customWidth="1"/>
    <col min="28" max="28" width="11" style="90" customWidth="1"/>
    <col min="29" max="29" width="15" style="90" customWidth="1"/>
    <col min="30" max="30" width="11.28515625" style="90" customWidth="1"/>
    <col min="31" max="32" width="10.140625" style="90" customWidth="1"/>
    <col min="33" max="33" width="9" style="90" customWidth="1"/>
    <col min="34" max="34" width="10.42578125" style="90" customWidth="1"/>
    <col min="35" max="35" width="8.7109375" style="90" customWidth="1"/>
    <col min="36" max="36" width="8.85546875" style="90" customWidth="1"/>
    <col min="37" max="37" width="9.28515625" style="90" customWidth="1"/>
    <col min="38" max="38" width="10.42578125" style="90" customWidth="1"/>
    <col min="39" max="39" width="9.85546875" style="90" customWidth="1"/>
    <col min="40" max="40" width="11.28515625" style="90" customWidth="1"/>
    <col min="41" max="41" width="10.7109375" style="90" customWidth="1"/>
    <col min="42" max="42" width="7" style="90" customWidth="1"/>
    <col min="43" max="43" width="9.42578125" style="90" customWidth="1"/>
    <col min="44" max="44" width="10.5703125" style="90" customWidth="1"/>
    <col min="45" max="45" width="10.7109375" style="90" customWidth="1"/>
    <col min="46" max="46" width="11.140625" style="90" customWidth="1"/>
    <col min="47" max="47" width="9.7109375" style="90" customWidth="1"/>
    <col min="48" max="48" width="9.140625" style="90" customWidth="1"/>
    <col min="49" max="49" width="7.42578125" style="90" customWidth="1"/>
    <col min="50" max="50" width="8.5703125" style="90" customWidth="1"/>
    <col min="51" max="51" width="6" style="90" customWidth="1"/>
    <col min="52" max="53" width="10.5703125" style="90" customWidth="1"/>
    <col min="54" max="54" width="11.42578125" style="90" customWidth="1"/>
    <col min="55" max="55" width="8.85546875" style="90" customWidth="1"/>
    <col min="56" max="56" width="9" style="90" customWidth="1"/>
    <col min="57" max="57" width="13.42578125" style="90" customWidth="1"/>
    <col min="58" max="58" width="8.7109375" style="90" customWidth="1"/>
    <col min="59" max="59" width="11.42578125" style="90" customWidth="1"/>
    <col min="60" max="61" width="10.140625" style="90" customWidth="1"/>
    <col min="62" max="62" width="10.85546875" style="90" customWidth="1"/>
    <col min="63" max="63" width="14.5703125" style="90" customWidth="1"/>
    <col min="64" max="66" width="25.7109375" style="90" customWidth="1"/>
    <col min="67" max="67" width="12.42578125" style="89" customWidth="1"/>
    <col min="68" max="68" width="14.42578125" style="89" bestFit="1" customWidth="1"/>
    <col min="69" max="70" width="11.42578125" style="89"/>
    <col min="71" max="71" width="13.42578125" style="89" customWidth="1"/>
    <col min="72" max="72" width="14.5703125" style="89" customWidth="1"/>
    <col min="73" max="73" width="13.85546875" style="89" customWidth="1"/>
    <col min="74" max="74" width="13" style="89" customWidth="1"/>
    <col min="75" max="75" width="45.7109375" style="90" customWidth="1"/>
    <col min="76" max="76" width="11.42578125" style="89"/>
    <col min="77" max="77" width="23.140625" style="89" bestFit="1" customWidth="1"/>
    <col min="78" max="78" width="4.85546875" style="89" bestFit="1" customWidth="1"/>
    <col min="79" max="16384" width="11.42578125" style="89"/>
  </cols>
  <sheetData>
    <row r="1" spans="1:78" s="84" customFormat="1" hidden="1" x14ac:dyDescent="0.25">
      <c r="A1" s="85"/>
      <c r="B1" s="130"/>
      <c r="C1" s="85"/>
      <c r="D1" s="85"/>
      <c r="E1" s="85"/>
      <c r="F1" s="85">
        <v>5</v>
      </c>
      <c r="G1" s="85"/>
      <c r="H1" s="85"/>
      <c r="I1" s="85"/>
      <c r="J1" s="85"/>
      <c r="K1" s="85">
        <v>5</v>
      </c>
      <c r="L1" s="85">
        <v>5</v>
      </c>
      <c r="M1" s="85">
        <v>5</v>
      </c>
      <c r="N1" s="85">
        <v>5</v>
      </c>
      <c r="O1" s="85">
        <v>5</v>
      </c>
      <c r="P1" s="85">
        <v>5</v>
      </c>
      <c r="Q1" s="85">
        <v>5</v>
      </c>
      <c r="R1" s="85">
        <v>5</v>
      </c>
      <c r="S1" s="85">
        <v>5</v>
      </c>
      <c r="T1" s="85">
        <v>5</v>
      </c>
      <c r="U1" s="85">
        <v>5</v>
      </c>
      <c r="V1" s="85">
        <v>5</v>
      </c>
      <c r="W1" s="85">
        <v>5</v>
      </c>
      <c r="X1" s="85">
        <v>30</v>
      </c>
      <c r="Y1" s="85">
        <v>5</v>
      </c>
      <c r="Z1" s="85">
        <v>5</v>
      </c>
      <c r="AA1" s="85">
        <v>5</v>
      </c>
      <c r="AB1" s="85">
        <v>5</v>
      </c>
      <c r="AC1" s="85">
        <v>5</v>
      </c>
      <c r="AD1" s="85">
        <v>5</v>
      </c>
      <c r="AE1" s="85">
        <v>3</v>
      </c>
      <c r="AF1" s="85">
        <v>3</v>
      </c>
      <c r="AG1" s="85">
        <v>5</v>
      </c>
      <c r="AH1" s="85">
        <v>5</v>
      </c>
      <c r="AI1" s="85">
        <v>3</v>
      </c>
      <c r="AJ1" s="85">
        <v>3</v>
      </c>
      <c r="AK1" s="85">
        <v>50</v>
      </c>
      <c r="AL1" s="85">
        <v>5</v>
      </c>
      <c r="AM1" s="85">
        <v>3</v>
      </c>
      <c r="AN1" s="85">
        <v>5</v>
      </c>
      <c r="AO1" s="85">
        <v>2</v>
      </c>
      <c r="AP1" s="85">
        <v>2</v>
      </c>
      <c r="AQ1" s="85">
        <v>2</v>
      </c>
      <c r="AR1" s="85">
        <v>2</v>
      </c>
      <c r="AS1" s="85">
        <v>2</v>
      </c>
      <c r="AT1" s="85">
        <v>5</v>
      </c>
      <c r="AU1" s="85">
        <v>10</v>
      </c>
      <c r="AV1" s="85">
        <v>10</v>
      </c>
      <c r="AW1" s="85">
        <v>15</v>
      </c>
      <c r="AX1" s="85">
        <v>15</v>
      </c>
      <c r="AY1" s="85">
        <v>10</v>
      </c>
      <c r="AZ1" s="85">
        <v>10</v>
      </c>
      <c r="BA1" s="85">
        <v>10</v>
      </c>
      <c r="BB1" s="85">
        <v>10</v>
      </c>
      <c r="BC1" s="85">
        <v>10</v>
      </c>
      <c r="BD1" s="85">
        <v>20</v>
      </c>
      <c r="BE1" s="85">
        <v>20</v>
      </c>
      <c r="BF1" s="85">
        <v>20</v>
      </c>
      <c r="BG1" s="85">
        <v>20</v>
      </c>
      <c r="BH1" s="85">
        <v>5</v>
      </c>
      <c r="BI1" s="85">
        <v>15</v>
      </c>
      <c r="BJ1" s="85">
        <v>100</v>
      </c>
      <c r="BK1" s="85"/>
      <c r="BL1" s="85"/>
      <c r="BM1" s="85"/>
      <c r="BN1" s="85"/>
      <c r="BW1" s="90"/>
      <c r="BX1" s="89"/>
    </row>
    <row r="2" spans="1:78" ht="102.75" thickBot="1" x14ac:dyDescent="0.3">
      <c r="A2" s="87" t="s">
        <v>97</v>
      </c>
      <c r="B2" s="131" t="s">
        <v>92</v>
      </c>
      <c r="C2" s="87" t="s">
        <v>93</v>
      </c>
      <c r="D2" s="87" t="s">
        <v>2</v>
      </c>
      <c r="E2" s="87" t="s">
        <v>1</v>
      </c>
      <c r="F2" s="87" t="s">
        <v>4</v>
      </c>
      <c r="G2" s="87" t="s">
        <v>94</v>
      </c>
      <c r="H2" s="87" t="s">
        <v>95</v>
      </c>
      <c r="I2" s="87" t="s">
        <v>96</v>
      </c>
      <c r="J2" s="87" t="s">
        <v>97</v>
      </c>
      <c r="K2" s="87" t="s">
        <v>98</v>
      </c>
      <c r="L2" s="87" t="s">
        <v>99</v>
      </c>
      <c r="M2" s="87" t="s">
        <v>18</v>
      </c>
      <c r="N2" s="87" t="s">
        <v>19</v>
      </c>
      <c r="O2" s="87" t="s">
        <v>20</v>
      </c>
      <c r="P2" s="87" t="s">
        <v>21</v>
      </c>
      <c r="Q2" s="87" t="s">
        <v>22</v>
      </c>
      <c r="R2" s="87" t="s">
        <v>24</v>
      </c>
      <c r="S2" s="87" t="s">
        <v>25</v>
      </c>
      <c r="T2" s="87" t="s">
        <v>100</v>
      </c>
      <c r="U2" s="87" t="s">
        <v>101</v>
      </c>
      <c r="V2" s="87" t="s">
        <v>146</v>
      </c>
      <c r="W2" s="87" t="s">
        <v>29</v>
      </c>
      <c r="X2" s="87" t="s">
        <v>31</v>
      </c>
      <c r="Y2" s="87" t="s">
        <v>102</v>
      </c>
      <c r="Z2" s="87" t="s">
        <v>103</v>
      </c>
      <c r="AA2" s="87" t="s">
        <v>104</v>
      </c>
      <c r="AB2" s="87" t="s">
        <v>36</v>
      </c>
      <c r="AC2" s="87" t="s">
        <v>141</v>
      </c>
      <c r="AD2" s="87" t="s">
        <v>38</v>
      </c>
      <c r="AE2" s="164" t="s">
        <v>76</v>
      </c>
      <c r="AF2" s="164" t="s">
        <v>77</v>
      </c>
      <c r="AG2" s="164" t="s">
        <v>107</v>
      </c>
      <c r="AH2" s="164" t="s">
        <v>79</v>
      </c>
      <c r="AI2" s="164" t="s">
        <v>108</v>
      </c>
      <c r="AJ2" s="164" t="s">
        <v>81</v>
      </c>
      <c r="AK2" s="164" t="s">
        <v>82</v>
      </c>
      <c r="AL2" s="164" t="s">
        <v>83</v>
      </c>
      <c r="AM2" s="164" t="s">
        <v>147</v>
      </c>
      <c r="AN2" s="164" t="s">
        <v>122</v>
      </c>
      <c r="AO2" s="164" t="s">
        <v>86</v>
      </c>
      <c r="AP2" s="164" t="s">
        <v>87</v>
      </c>
      <c r="AQ2" s="164" t="s">
        <v>109</v>
      </c>
      <c r="AR2" s="164" t="s">
        <v>89</v>
      </c>
      <c r="AS2" s="164" t="s">
        <v>110</v>
      </c>
      <c r="AT2" s="164" t="s">
        <v>111</v>
      </c>
      <c r="AU2" s="164" t="s">
        <v>43</v>
      </c>
      <c r="AV2" s="164" t="s">
        <v>112</v>
      </c>
      <c r="AW2" s="164" t="s">
        <v>113</v>
      </c>
      <c r="AX2" s="164" t="s">
        <v>47</v>
      </c>
      <c r="AY2" s="164" t="s">
        <v>48</v>
      </c>
      <c r="AZ2" s="164" t="s">
        <v>49</v>
      </c>
      <c r="BA2" s="164" t="s">
        <v>50</v>
      </c>
      <c r="BB2" s="164" t="s">
        <v>51</v>
      </c>
      <c r="BC2" s="164" t="s">
        <v>52</v>
      </c>
      <c r="BD2" s="164" t="s">
        <v>57</v>
      </c>
      <c r="BE2" s="164" t="s">
        <v>114</v>
      </c>
      <c r="BF2" s="164" t="s">
        <v>59</v>
      </c>
      <c r="BG2" s="164" t="s">
        <v>115</v>
      </c>
      <c r="BH2" s="164" t="s">
        <v>61</v>
      </c>
      <c r="BI2" s="164" t="s">
        <v>62</v>
      </c>
      <c r="BJ2" s="87" t="s">
        <v>116</v>
      </c>
      <c r="BK2" s="87" t="s">
        <v>123</v>
      </c>
      <c r="BL2" s="87" t="s">
        <v>105</v>
      </c>
      <c r="BM2" s="87" t="s">
        <v>106</v>
      </c>
      <c r="BN2" s="87" t="s">
        <v>128</v>
      </c>
      <c r="BO2" s="91" t="s">
        <v>118</v>
      </c>
      <c r="BP2" s="91" t="s">
        <v>117</v>
      </c>
      <c r="BQ2" s="91" t="s">
        <v>119</v>
      </c>
      <c r="BR2" s="91" t="s">
        <v>120</v>
      </c>
      <c r="BS2" s="91" t="s">
        <v>121</v>
      </c>
      <c r="BT2" s="88" t="s">
        <v>148</v>
      </c>
      <c r="BU2" s="88" t="s">
        <v>129</v>
      </c>
      <c r="BV2" s="88" t="s">
        <v>130</v>
      </c>
      <c r="BW2" s="88" t="s">
        <v>54</v>
      </c>
      <c r="BX2" s="123"/>
    </row>
    <row r="3" spans="1:78" ht="15.75" thickBot="1" x14ac:dyDescent="0.3">
      <c r="A3" s="228">
        <v>21252817</v>
      </c>
      <c r="B3" s="227">
        <v>45082</v>
      </c>
      <c r="C3" s="227"/>
      <c r="D3" s="227">
        <v>45082</v>
      </c>
      <c r="E3" s="228" t="s">
        <v>162</v>
      </c>
      <c r="F3" s="228" t="s">
        <v>163</v>
      </c>
      <c r="G3" s="228" t="s">
        <v>164</v>
      </c>
      <c r="H3" s="228" t="s">
        <v>165</v>
      </c>
      <c r="I3" s="228" t="s">
        <v>166</v>
      </c>
      <c r="J3" s="228">
        <v>21252817</v>
      </c>
      <c r="K3" s="228" t="s">
        <v>44</v>
      </c>
      <c r="L3" s="228" t="s">
        <v>44</v>
      </c>
      <c r="M3" s="228" t="s">
        <v>44</v>
      </c>
      <c r="N3" s="228" t="s">
        <v>44</v>
      </c>
      <c r="O3" s="228" t="s">
        <v>44</v>
      </c>
      <c r="P3" s="228" t="s">
        <v>44</v>
      </c>
      <c r="Q3" s="228" t="s">
        <v>44</v>
      </c>
      <c r="R3" s="228" t="s">
        <v>44</v>
      </c>
      <c r="S3" s="228" t="s">
        <v>44</v>
      </c>
      <c r="T3" s="228" t="s">
        <v>44</v>
      </c>
      <c r="U3" s="228" t="s">
        <v>44</v>
      </c>
      <c r="V3" s="228" t="s">
        <v>44</v>
      </c>
      <c r="W3" s="228" t="s">
        <v>44</v>
      </c>
      <c r="X3" s="228" t="s">
        <v>44</v>
      </c>
      <c r="Y3" s="228" t="s">
        <v>167</v>
      </c>
      <c r="Z3" s="228" t="s">
        <v>167</v>
      </c>
      <c r="AA3" s="228" t="s">
        <v>167</v>
      </c>
      <c r="AB3" s="228" t="s">
        <v>167</v>
      </c>
      <c r="AC3" s="228" t="s">
        <v>167</v>
      </c>
      <c r="AD3" s="228" t="s">
        <v>167</v>
      </c>
      <c r="AE3" s="228" t="s">
        <v>167</v>
      </c>
      <c r="AF3" s="228" t="s">
        <v>167</v>
      </c>
      <c r="AG3" s="228" t="s">
        <v>167</v>
      </c>
      <c r="AH3" s="228" t="s">
        <v>167</v>
      </c>
      <c r="AI3" s="228" t="s">
        <v>167</v>
      </c>
      <c r="AJ3" s="228" t="s">
        <v>167</v>
      </c>
      <c r="AK3" s="228" t="s">
        <v>167</v>
      </c>
      <c r="AL3" s="228" t="s">
        <v>167</v>
      </c>
      <c r="AM3" s="228" t="s">
        <v>167</v>
      </c>
      <c r="AN3" s="228" t="s">
        <v>167</v>
      </c>
      <c r="AO3" s="228" t="s">
        <v>167</v>
      </c>
      <c r="AP3" s="228" t="s">
        <v>167</v>
      </c>
      <c r="AQ3" s="228" t="s">
        <v>167</v>
      </c>
      <c r="AR3" s="228" t="s">
        <v>167</v>
      </c>
      <c r="AS3" s="228" t="s">
        <v>167</v>
      </c>
      <c r="AT3" s="228" t="s">
        <v>167</v>
      </c>
      <c r="AU3" s="228" t="s">
        <v>167</v>
      </c>
      <c r="AV3" s="228" t="s">
        <v>167</v>
      </c>
      <c r="AW3" s="228" t="s">
        <v>167</v>
      </c>
      <c r="AX3" s="228" t="s">
        <v>167</v>
      </c>
      <c r="AY3" s="228" t="s">
        <v>167</v>
      </c>
      <c r="AZ3" s="228" t="s">
        <v>167</v>
      </c>
      <c r="BA3" s="228" t="s">
        <v>167</v>
      </c>
      <c r="BB3" s="228" t="s">
        <v>167</v>
      </c>
      <c r="BC3" s="228" t="s">
        <v>167</v>
      </c>
      <c r="BD3" s="228" t="s">
        <v>167</v>
      </c>
      <c r="BE3" s="228" t="s">
        <v>167</v>
      </c>
      <c r="BF3" s="228" t="s">
        <v>167</v>
      </c>
      <c r="BG3" s="228" t="s">
        <v>167</v>
      </c>
      <c r="BH3" s="228" t="s">
        <v>44</v>
      </c>
      <c r="BL3" s="229" t="s">
        <v>168</v>
      </c>
      <c r="BM3" s="229" t="s">
        <v>169</v>
      </c>
      <c r="BN3" s="228"/>
      <c r="BO3" s="92">
        <f t="shared" ref="BO3:BO7" si="0">IF(K3="NO",0,$K$1)+IF(L3="NO",0,$L$1)+IF(F3="GT",0,$F$1)+IF(M3="NO",0,$M$1)+IF(N3="NO",0,$N$1)+IF(O3="NO",0,$O$1)+IF(P3="NO",0,$P$1)+IF(Q3="NO",0,$Q$1)+IF(R3="NO",0,$R$1)+IF(S3="NO",0,$S$1)+IF(T3="NO",0,$T$1)+IF(U3="NO",0,$U$1)+IF(V3="NO",0,$V$1)+IF(W3="NO",0,$W$1)+IF(X3="NO",$X$1,IF(Y3="NO",0,$Y$1)+IF(Z3="NO",0,$Z$1)+IF(AA3="NO",0,$AA$1)+IF(AB3="NO",0,$AB$1)+IF(AC3="NO",0,$AC$1)+IF(AD3="NO",0,$AD$1))</f>
        <v>100</v>
      </c>
      <c r="BP3" s="92">
        <f t="shared" ref="BP3:BP7" si="1">IF(AE3="NO",0,$AE$1)+IF(AF3="NO",0,$AF$1)+IF(AG3="NO",0,$AG$1)+IF(AH3="NO",0,$AH$1)+IF(AI3="NO",0,$AI$1)+IF(AJ3="NO",0,$AJ$1)+IF(AK3="NO",0,$AK$1)+IF(AL3="NO",0,$AL$1)+IF(AM3="NO",0,$AM$1)+IF(AN3="NO",0,$AN$1)+IF(AO3="NO",0,$AO$1)+IF(AP3="NO",0,$AP$1)+IF(AQ3="NO",0,$AQ$1)+IF(AR3="NO",0,$AR$1)+IF(AS3="NO",0,$AS$1)+IF(AT3="NO",0,$AT$1)</f>
        <v>100</v>
      </c>
      <c r="BQ3" s="92">
        <f t="shared" ref="BQ3:BQ7" si="2">IF(AU3="NO",0,$AU$1)+IF(AV3="NO",0,$AV$1)+IF(AW3="NO",0,$AW$1)+IF(AX3="NO",0,$AX$1)+IF(AY3="NO",0,$AY$1)+IF(AZ3="NO",0,$AZ$1)+IF(BA3="NO",0,$BA$1)+IF(BB3="NO",0,$BB$1)+IF(BC3="NO",0,$BC$1)</f>
        <v>100</v>
      </c>
      <c r="BR3" s="92">
        <f>IF(BD3="NO",0,$BD$1)+IF(BE3="NO",0,$BE$1)+IF(BF3="NO",0,$BF$1)+IF(BG3="NO",0,$BG$1)+IF(BH3="NO",0,$BH$1)+IF(BL3="NO",0,$BI$1)</f>
        <v>100</v>
      </c>
      <c r="BS3" s="92">
        <f>IF(BM3="NO",0,$BJ$1)</f>
        <v>100</v>
      </c>
      <c r="BT3" s="92">
        <v>1</v>
      </c>
      <c r="BU3" s="92" t="s">
        <v>73</v>
      </c>
      <c r="BV3" s="92" t="str">
        <f t="shared" ref="BV3:BV7" si="3">I3</f>
        <v>Brayan Plateros</v>
      </c>
      <c r="BW3" s="134"/>
    </row>
    <row r="4" spans="1:78" ht="15.75" thickBot="1" x14ac:dyDescent="0.3">
      <c r="A4" s="93"/>
      <c r="B4" s="162"/>
      <c r="C4" s="93"/>
      <c r="D4" s="162"/>
      <c r="E4" s="162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163"/>
      <c r="BM4" s="163"/>
      <c r="BN4" s="163"/>
      <c r="BO4" s="92">
        <f t="shared" si="0"/>
        <v>100</v>
      </c>
      <c r="BP4" s="92">
        <f t="shared" si="1"/>
        <v>100</v>
      </c>
      <c r="BQ4" s="92">
        <f t="shared" si="2"/>
        <v>100</v>
      </c>
      <c r="BR4" s="92">
        <f t="shared" ref="BR3:BR7" si="4">IF(BD4="NO",0,$BD$1)+IF(BE4="NO",0,$BE$1)+IF(BF4="NO",0,$BF$1)+IF(BG4="NO",0,$BG$1)+IF(BH4="NO",0,$BH$1)+IF(BI4="NO",0,$BI$1)</f>
        <v>100</v>
      </c>
      <c r="BS4" s="92">
        <f t="shared" ref="BS3:BS7" si="5">IF(BJ4="NO",0,$BJ$1)</f>
        <v>100</v>
      </c>
      <c r="BT4" s="92">
        <v>2</v>
      </c>
      <c r="BU4" s="92" t="s">
        <v>73</v>
      </c>
      <c r="BV4" s="92">
        <f t="shared" si="3"/>
        <v>0</v>
      </c>
      <c r="BW4" s="134"/>
    </row>
    <row r="5" spans="1:78" ht="15.75" thickBot="1" x14ac:dyDescent="0.3">
      <c r="A5" s="93"/>
      <c r="B5" s="162"/>
      <c r="C5" s="93"/>
      <c r="D5" s="162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  <c r="BJ5" s="93"/>
      <c r="BK5" s="93"/>
      <c r="BL5" s="163"/>
      <c r="BM5" s="163"/>
      <c r="BN5" s="163"/>
      <c r="BO5" s="92">
        <f t="shared" si="0"/>
        <v>100</v>
      </c>
      <c r="BP5" s="92">
        <f t="shared" si="1"/>
        <v>100</v>
      </c>
      <c r="BQ5" s="92">
        <f t="shared" si="2"/>
        <v>100</v>
      </c>
      <c r="BR5" s="92">
        <f t="shared" si="4"/>
        <v>100</v>
      </c>
      <c r="BS5" s="92">
        <f t="shared" si="5"/>
        <v>100</v>
      </c>
      <c r="BT5" s="92">
        <v>3</v>
      </c>
      <c r="BU5" s="92" t="s">
        <v>73</v>
      </c>
      <c r="BV5" s="92">
        <f t="shared" si="3"/>
        <v>0</v>
      </c>
      <c r="BW5" s="134"/>
    </row>
    <row r="6" spans="1:78" ht="15.75" thickBot="1" x14ac:dyDescent="0.3">
      <c r="A6" s="93"/>
      <c r="B6" s="162"/>
      <c r="C6" s="93"/>
      <c r="D6" s="162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163"/>
      <c r="BM6" s="163"/>
      <c r="BN6" s="163"/>
      <c r="BO6" s="92">
        <f t="shared" si="0"/>
        <v>100</v>
      </c>
      <c r="BP6" s="92">
        <f t="shared" si="1"/>
        <v>100</v>
      </c>
      <c r="BQ6" s="92">
        <f t="shared" si="2"/>
        <v>100</v>
      </c>
      <c r="BR6" s="92">
        <f t="shared" si="4"/>
        <v>100</v>
      </c>
      <c r="BS6" s="92">
        <f t="shared" si="5"/>
        <v>100</v>
      </c>
      <c r="BT6" s="92">
        <v>4</v>
      </c>
      <c r="BU6" s="92" t="s">
        <v>73</v>
      </c>
      <c r="BV6" s="92">
        <f t="shared" si="3"/>
        <v>0</v>
      </c>
      <c r="BW6" s="134"/>
    </row>
    <row r="7" spans="1:78" ht="15.75" thickBot="1" x14ac:dyDescent="0.3">
      <c r="A7" s="93"/>
      <c r="B7" s="162"/>
      <c r="C7" s="93"/>
      <c r="D7" s="162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  <c r="BI7" s="93"/>
      <c r="BJ7" s="93"/>
      <c r="BK7" s="93"/>
      <c r="BL7" s="163"/>
      <c r="BM7" s="163"/>
      <c r="BN7" s="163"/>
      <c r="BO7" s="92">
        <f t="shared" si="0"/>
        <v>100</v>
      </c>
      <c r="BP7" s="92">
        <f t="shared" si="1"/>
        <v>100</v>
      </c>
      <c r="BQ7" s="92">
        <f t="shared" si="2"/>
        <v>100</v>
      </c>
      <c r="BR7" s="92">
        <f t="shared" si="4"/>
        <v>100</v>
      </c>
      <c r="BS7" s="92">
        <f t="shared" si="5"/>
        <v>100</v>
      </c>
      <c r="BT7" s="92">
        <v>5</v>
      </c>
      <c r="BU7" s="92" t="s">
        <v>73</v>
      </c>
      <c r="BV7" s="92">
        <f t="shared" si="3"/>
        <v>0</v>
      </c>
      <c r="BW7" s="134"/>
    </row>
    <row r="8" spans="1:78" ht="15.75" thickBot="1" x14ac:dyDescent="0.3">
      <c r="A8" s="93"/>
      <c r="B8" s="162"/>
      <c r="C8" s="93"/>
      <c r="D8" s="162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163"/>
      <c r="BM8" s="163"/>
      <c r="BN8" s="163"/>
      <c r="BO8" s="92">
        <f t="shared" ref="BO8:BO52" si="6">IF(K8="NO",0,$K$1)+IF(L8="NO",0,$L$1)+IF(F8="GT",0,$F$1)+IF(M8="NO",0,$M$1)+IF(N8="NO",0,$N$1)+IF(O8="NO",0,$O$1)+IF(P8="NO",0,$P$1)+IF(Q8="NO",0,$Q$1)+IF(R8="NO",0,$R$1)+IF(S8="NO",0,$S$1)+IF(T8="NO",0,$T$1)+IF(U8="NO",0,$U$1)+IF(V8="NO",0,$V$1)+IF(W8="NO",0,$W$1)+IF(X8="NO",$X$1,IF(Y8="NO",0,$Y$1)+IF(Z8="NO",0,$Z$1)+IF(AA8="NO",0,$AA$1)+IF(AB8="NO",0,$AB$1)+IF(AC8="NO",0,$AC$1)+IF(AD8="NO",0,$AD$1))</f>
        <v>100</v>
      </c>
      <c r="BP8" s="92">
        <f t="shared" ref="BP8:BP34" si="7">IF(AE8="NO",0,$AE$1)+IF(AF8="NO",0,$AF$1)+IF(AG8="NO",0,$AG$1)+IF(AH8="NO",0,$AH$1)+IF(AI8="NO",0,$AI$1)+IF(AJ8="NO",0,$AJ$1)+IF(AK8="NO",0,$AK$1)+IF(AL8="NO",0,$AL$1)+IF(AM8="NO",0,$AM$1)+IF(AN8="NO",0,$AN$1)+IF(AO8="NO",0,$AO$1)+IF(AP8="NO",0,$AP$1)+IF(AQ8="NO",0,$AQ$1)+IF(AR8="NO",0,$AR$1)+IF(AS8="NO",0,$AS$1)+IF(AT8="NO",0,$AT$1)</f>
        <v>100</v>
      </c>
      <c r="BQ8" s="92">
        <f t="shared" ref="BQ8:BQ34" si="8">IF(AU8="NO",0,$AU$1)+IF(AV8="NO",0,$AV$1)+IF(AW8="NO",0,$AW$1)+IF(AX8="NO",0,$AX$1)+IF(AY8="NO",0,$AY$1)+IF(AZ8="NO",0,$AZ$1)+IF(BA8="NO",0,$BA$1)+IF(BB8="NO",0,$BB$1)+IF(BC8="NO",0,$BC$1)</f>
        <v>100</v>
      </c>
      <c r="BR8" s="92">
        <f t="shared" ref="BR8:BR34" si="9">IF(BD8="NO",0,$BD$1)+IF(BE8="NO",0,$BE$1)+IF(BF8="NO",0,$BF$1)+IF(BG8="NO",0,$BG$1)+IF(BH8="NO",0,$BH$1)+IF(BI8="NO",0,$BI$1)</f>
        <v>100</v>
      </c>
      <c r="BS8" s="92">
        <f t="shared" ref="BS8:BS34" si="10">IF(BJ8="NO",0,$BJ$1)</f>
        <v>100</v>
      </c>
      <c r="BT8" s="92">
        <v>6</v>
      </c>
      <c r="BU8" s="92" t="s">
        <v>73</v>
      </c>
      <c r="BV8" s="92">
        <f t="shared" ref="BV8:BV52" si="11">I8</f>
        <v>0</v>
      </c>
      <c r="BW8" s="134"/>
    </row>
    <row r="9" spans="1:78" ht="15.75" thickBot="1" x14ac:dyDescent="0.3">
      <c r="A9" s="93"/>
      <c r="B9" s="162"/>
      <c r="C9" s="93"/>
      <c r="D9" s="162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163"/>
      <c r="BM9" s="163"/>
      <c r="BN9" s="163"/>
      <c r="BO9" s="92">
        <f t="shared" si="6"/>
        <v>100</v>
      </c>
      <c r="BP9" s="92">
        <f t="shared" si="7"/>
        <v>100</v>
      </c>
      <c r="BQ9" s="92">
        <f t="shared" si="8"/>
        <v>100</v>
      </c>
      <c r="BR9" s="92">
        <f t="shared" si="9"/>
        <v>100</v>
      </c>
      <c r="BS9" s="92">
        <f t="shared" si="10"/>
        <v>100</v>
      </c>
      <c r="BT9" s="92">
        <v>7</v>
      </c>
      <c r="BU9" s="92" t="s">
        <v>73</v>
      </c>
      <c r="BV9" s="92">
        <f t="shared" si="11"/>
        <v>0</v>
      </c>
      <c r="BW9" s="134"/>
    </row>
    <row r="10" spans="1:78" ht="15.75" thickBot="1" x14ac:dyDescent="0.3">
      <c r="A10" s="93"/>
      <c r="B10" s="162"/>
      <c r="C10" s="93"/>
      <c r="D10" s="162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163"/>
      <c r="BM10" s="163"/>
      <c r="BN10" s="163"/>
      <c r="BO10" s="92">
        <f t="shared" si="6"/>
        <v>100</v>
      </c>
      <c r="BP10" s="92">
        <f t="shared" si="7"/>
        <v>100</v>
      </c>
      <c r="BQ10" s="92">
        <f t="shared" si="8"/>
        <v>100</v>
      </c>
      <c r="BR10" s="92">
        <f t="shared" si="9"/>
        <v>100</v>
      </c>
      <c r="BS10" s="92">
        <f t="shared" si="10"/>
        <v>100</v>
      </c>
      <c r="BT10" s="92">
        <v>8</v>
      </c>
      <c r="BU10" s="92" t="s">
        <v>73</v>
      </c>
      <c r="BV10" s="92">
        <f t="shared" si="11"/>
        <v>0</v>
      </c>
      <c r="BW10" s="134"/>
    </row>
    <row r="11" spans="1:78" ht="15.75" thickBot="1" x14ac:dyDescent="0.3">
      <c r="A11" s="93"/>
      <c r="B11" s="162"/>
      <c r="C11" s="93"/>
      <c r="D11" s="162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  <c r="BI11" s="93"/>
      <c r="BJ11" s="93"/>
      <c r="BK11" s="93"/>
      <c r="BL11" s="163"/>
      <c r="BM11" s="163"/>
      <c r="BN11" s="163"/>
      <c r="BO11" s="92">
        <f t="shared" si="6"/>
        <v>100</v>
      </c>
      <c r="BP11" s="92">
        <f t="shared" si="7"/>
        <v>100</v>
      </c>
      <c r="BQ11" s="92">
        <f t="shared" si="8"/>
        <v>100</v>
      </c>
      <c r="BR11" s="92">
        <f t="shared" si="9"/>
        <v>100</v>
      </c>
      <c r="BS11" s="92">
        <f t="shared" si="10"/>
        <v>100</v>
      </c>
      <c r="BT11" s="92">
        <v>9</v>
      </c>
      <c r="BU11" s="92" t="s">
        <v>73</v>
      </c>
      <c r="BV11" s="92">
        <f t="shared" si="11"/>
        <v>0</v>
      </c>
      <c r="BW11" s="134"/>
      <c r="BY11" s="125" t="s">
        <v>131</v>
      </c>
      <c r="BZ11" s="126" t="s">
        <v>132</v>
      </c>
    </row>
    <row r="12" spans="1:78" ht="15.75" thickBot="1" x14ac:dyDescent="0.3">
      <c r="A12" s="93"/>
      <c r="B12" s="162"/>
      <c r="C12" s="93"/>
      <c r="D12" s="162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  <c r="BI12" s="93"/>
      <c r="BJ12" s="93"/>
      <c r="BK12" s="93"/>
      <c r="BL12" s="163"/>
      <c r="BM12" s="163"/>
      <c r="BN12" s="163"/>
      <c r="BO12" s="92">
        <f t="shared" si="6"/>
        <v>100</v>
      </c>
      <c r="BP12" s="92">
        <f t="shared" si="7"/>
        <v>100</v>
      </c>
      <c r="BQ12" s="92">
        <f t="shared" si="8"/>
        <v>100</v>
      </c>
      <c r="BR12" s="92">
        <f t="shared" si="9"/>
        <v>100</v>
      </c>
      <c r="BS12" s="92">
        <f t="shared" si="10"/>
        <v>100</v>
      </c>
      <c r="BT12" s="92">
        <v>10</v>
      </c>
      <c r="BU12" s="92" t="s">
        <v>73</v>
      </c>
      <c r="BV12" s="92">
        <f t="shared" si="11"/>
        <v>0</v>
      </c>
      <c r="BW12" s="134"/>
      <c r="BY12" s="127" t="s">
        <v>142</v>
      </c>
      <c r="BZ12" s="128" t="s">
        <v>143</v>
      </c>
    </row>
    <row r="13" spans="1:78" ht="15.75" thickBot="1" x14ac:dyDescent="0.3">
      <c r="A13" s="93"/>
      <c r="B13" s="162"/>
      <c r="C13" s="93"/>
      <c r="D13" s="162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93"/>
      <c r="AX13" s="93"/>
      <c r="AY13" s="93"/>
      <c r="AZ13" s="93"/>
      <c r="BA13" s="93"/>
      <c r="BB13" s="93"/>
      <c r="BC13" s="93"/>
      <c r="BD13" s="93"/>
      <c r="BE13" s="93"/>
      <c r="BF13" s="93"/>
      <c r="BG13" s="93"/>
      <c r="BH13" s="93"/>
      <c r="BI13" s="93"/>
      <c r="BJ13" s="93"/>
      <c r="BK13" s="93"/>
      <c r="BL13" s="163"/>
      <c r="BM13" s="163"/>
      <c r="BN13" s="163"/>
      <c r="BO13" s="92">
        <f t="shared" si="6"/>
        <v>100</v>
      </c>
      <c r="BP13" s="92">
        <f t="shared" si="7"/>
        <v>100</v>
      </c>
      <c r="BQ13" s="92">
        <f t="shared" si="8"/>
        <v>100</v>
      </c>
      <c r="BR13" s="92">
        <f t="shared" si="9"/>
        <v>100</v>
      </c>
      <c r="BS13" s="92">
        <f t="shared" si="10"/>
        <v>100</v>
      </c>
      <c r="BT13" s="92">
        <v>11</v>
      </c>
      <c r="BU13" s="92" t="s">
        <v>73</v>
      </c>
      <c r="BV13" s="92">
        <f t="shared" si="11"/>
        <v>0</v>
      </c>
      <c r="BW13" s="134"/>
      <c r="BY13" s="127" t="s">
        <v>133</v>
      </c>
      <c r="BZ13" s="128" t="s">
        <v>134</v>
      </c>
    </row>
    <row r="14" spans="1:78" ht="15.75" thickBot="1" x14ac:dyDescent="0.3">
      <c r="A14" s="93"/>
      <c r="B14" s="162"/>
      <c r="C14" s="93"/>
      <c r="D14" s="16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93"/>
      <c r="AX14" s="93"/>
      <c r="AY14" s="93"/>
      <c r="AZ14" s="93"/>
      <c r="BA14" s="93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163"/>
      <c r="BM14" s="163"/>
      <c r="BN14" s="163"/>
      <c r="BO14" s="92">
        <f t="shared" si="6"/>
        <v>100</v>
      </c>
      <c r="BP14" s="92">
        <f t="shared" si="7"/>
        <v>100</v>
      </c>
      <c r="BQ14" s="92">
        <f t="shared" si="8"/>
        <v>100</v>
      </c>
      <c r="BR14" s="92">
        <f t="shared" si="9"/>
        <v>100</v>
      </c>
      <c r="BS14" s="92">
        <f t="shared" si="10"/>
        <v>100</v>
      </c>
      <c r="BT14" s="92">
        <v>12</v>
      </c>
      <c r="BU14" s="92" t="s">
        <v>73</v>
      </c>
      <c r="BV14" s="92">
        <f t="shared" si="11"/>
        <v>0</v>
      </c>
      <c r="BW14" s="134"/>
      <c r="BY14" s="127" t="s">
        <v>135</v>
      </c>
      <c r="BZ14" s="128" t="s">
        <v>136</v>
      </c>
    </row>
    <row r="15" spans="1:78" ht="15.75" thickBot="1" x14ac:dyDescent="0.3">
      <c r="A15" s="155"/>
      <c r="B15" s="156"/>
      <c r="C15" s="155"/>
      <c r="D15" s="156"/>
      <c r="E15" s="155"/>
      <c r="F15" s="155"/>
      <c r="G15" s="155"/>
      <c r="H15" s="155"/>
      <c r="I15" s="155"/>
      <c r="J15" s="155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  <c r="BI15" s="93"/>
      <c r="BJ15" s="93"/>
      <c r="BK15" s="93"/>
      <c r="BL15" s="163"/>
      <c r="BM15" s="163"/>
      <c r="BN15" s="157"/>
      <c r="BO15" s="92">
        <f t="shared" si="6"/>
        <v>100</v>
      </c>
      <c r="BP15" s="92">
        <f t="shared" si="7"/>
        <v>100</v>
      </c>
      <c r="BQ15" s="92">
        <f t="shared" si="8"/>
        <v>100</v>
      </c>
      <c r="BR15" s="92">
        <f t="shared" si="9"/>
        <v>100</v>
      </c>
      <c r="BS15" s="92">
        <f t="shared" si="10"/>
        <v>100</v>
      </c>
      <c r="BT15" s="92">
        <v>13</v>
      </c>
      <c r="BU15" s="92" t="s">
        <v>73</v>
      </c>
      <c r="BV15" s="92">
        <f t="shared" si="11"/>
        <v>0</v>
      </c>
      <c r="BW15" s="134"/>
      <c r="BY15" s="127" t="s">
        <v>137</v>
      </c>
      <c r="BZ15" s="128" t="s">
        <v>138</v>
      </c>
    </row>
    <row r="16" spans="1:78" ht="15.75" thickBot="1" x14ac:dyDescent="0.3">
      <c r="A16" s="155"/>
      <c r="B16" s="156"/>
      <c r="C16" s="155"/>
      <c r="D16" s="156"/>
      <c r="E16" s="155"/>
      <c r="F16" s="155"/>
      <c r="G16" s="155"/>
      <c r="H16" s="155"/>
      <c r="I16" s="155"/>
      <c r="J16" s="155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163"/>
      <c r="BM16" s="163"/>
      <c r="BN16" s="157"/>
      <c r="BO16" s="92">
        <f t="shared" si="6"/>
        <v>100</v>
      </c>
      <c r="BP16" s="92">
        <f t="shared" si="7"/>
        <v>100</v>
      </c>
      <c r="BQ16" s="92">
        <f t="shared" si="8"/>
        <v>100</v>
      </c>
      <c r="BR16" s="92">
        <f t="shared" si="9"/>
        <v>100</v>
      </c>
      <c r="BS16" s="92">
        <f t="shared" si="10"/>
        <v>100</v>
      </c>
      <c r="BT16" s="92">
        <v>14</v>
      </c>
      <c r="BU16" s="92" t="s">
        <v>73</v>
      </c>
      <c r="BV16" s="92">
        <f t="shared" si="11"/>
        <v>0</v>
      </c>
      <c r="BW16" s="134"/>
      <c r="BY16" s="127" t="s">
        <v>139</v>
      </c>
      <c r="BZ16" s="128" t="s">
        <v>140</v>
      </c>
    </row>
    <row r="17" spans="1:78" ht="15.75" thickBot="1" x14ac:dyDescent="0.3">
      <c r="A17" s="155"/>
      <c r="B17" s="156"/>
      <c r="C17" s="155"/>
      <c r="D17" s="156"/>
      <c r="E17" s="155"/>
      <c r="F17" s="155"/>
      <c r="G17" s="155"/>
      <c r="H17" s="155"/>
      <c r="I17" s="155"/>
      <c r="J17" s="155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  <c r="BI17" s="93"/>
      <c r="BJ17" s="93"/>
      <c r="BK17" s="93"/>
      <c r="BL17" s="163"/>
      <c r="BM17" s="163"/>
      <c r="BN17" s="157"/>
      <c r="BO17" s="92">
        <f t="shared" si="6"/>
        <v>100</v>
      </c>
      <c r="BP17" s="92">
        <f t="shared" si="7"/>
        <v>100</v>
      </c>
      <c r="BQ17" s="92">
        <f t="shared" si="8"/>
        <v>100</v>
      </c>
      <c r="BR17" s="92">
        <f t="shared" si="9"/>
        <v>100</v>
      </c>
      <c r="BS17" s="92">
        <f t="shared" si="10"/>
        <v>100</v>
      </c>
      <c r="BT17" s="92">
        <v>15</v>
      </c>
      <c r="BU17" s="92" t="s">
        <v>73</v>
      </c>
      <c r="BV17" s="92">
        <f t="shared" si="11"/>
        <v>0</v>
      </c>
      <c r="BW17" s="134"/>
      <c r="BY17" s="127" t="s">
        <v>149</v>
      </c>
      <c r="BZ17" s="128" t="s">
        <v>150</v>
      </c>
    </row>
    <row r="18" spans="1:78" ht="15.75" thickBot="1" x14ac:dyDescent="0.3">
      <c r="A18" s="155"/>
      <c r="B18" s="156"/>
      <c r="C18" s="155"/>
      <c r="D18" s="156"/>
      <c r="E18" s="155"/>
      <c r="F18" s="155"/>
      <c r="G18" s="155"/>
      <c r="H18" s="155"/>
      <c r="I18" s="155"/>
      <c r="J18" s="155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93"/>
      <c r="AX18" s="93"/>
      <c r="AY18" s="93"/>
      <c r="AZ18" s="93"/>
      <c r="BA18" s="93"/>
      <c r="BB18" s="93"/>
      <c r="BC18" s="93"/>
      <c r="BD18" s="93"/>
      <c r="BE18" s="93"/>
      <c r="BF18" s="93"/>
      <c r="BG18" s="93"/>
      <c r="BH18" s="93"/>
      <c r="BI18" s="93"/>
      <c r="BJ18" s="93"/>
      <c r="BK18" s="93"/>
      <c r="BL18" s="163"/>
      <c r="BM18" s="163"/>
      <c r="BN18" s="157"/>
      <c r="BO18" s="92">
        <f t="shared" si="6"/>
        <v>100</v>
      </c>
      <c r="BP18" s="92">
        <f t="shared" si="7"/>
        <v>100</v>
      </c>
      <c r="BQ18" s="92">
        <f t="shared" si="8"/>
        <v>100</v>
      </c>
      <c r="BR18" s="92">
        <f t="shared" si="9"/>
        <v>100</v>
      </c>
      <c r="BS18" s="92">
        <f t="shared" si="10"/>
        <v>100</v>
      </c>
      <c r="BT18" s="92">
        <v>16</v>
      </c>
      <c r="BU18" s="92" t="s">
        <v>73</v>
      </c>
      <c r="BV18" s="92">
        <f t="shared" si="11"/>
        <v>0</v>
      </c>
      <c r="BW18" s="134"/>
      <c r="BY18" s="129" t="s">
        <v>144</v>
      </c>
      <c r="BZ18" s="147" t="s">
        <v>145</v>
      </c>
    </row>
    <row r="19" spans="1:78" ht="15.75" thickBot="1" x14ac:dyDescent="0.3">
      <c r="A19" s="155"/>
      <c r="B19" s="156"/>
      <c r="C19" s="155"/>
      <c r="D19" s="156"/>
      <c r="E19" s="155"/>
      <c r="F19" s="155"/>
      <c r="G19" s="155"/>
      <c r="H19" s="155"/>
      <c r="I19" s="155"/>
      <c r="J19" s="155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163"/>
      <c r="BM19" s="163"/>
      <c r="BN19" s="157"/>
      <c r="BO19" s="92">
        <f t="shared" si="6"/>
        <v>100</v>
      </c>
      <c r="BP19" s="92">
        <f t="shared" si="7"/>
        <v>100</v>
      </c>
      <c r="BQ19" s="92">
        <f t="shared" si="8"/>
        <v>100</v>
      </c>
      <c r="BR19" s="92">
        <f t="shared" si="9"/>
        <v>100</v>
      </c>
      <c r="BS19" s="92">
        <f t="shared" si="10"/>
        <v>100</v>
      </c>
      <c r="BT19" s="92">
        <v>17</v>
      </c>
      <c r="BU19" s="92" t="s">
        <v>73</v>
      </c>
      <c r="BV19" s="92">
        <f t="shared" si="11"/>
        <v>0</v>
      </c>
      <c r="BW19" s="134"/>
    </row>
    <row r="20" spans="1:78" ht="15.75" thickBot="1" x14ac:dyDescent="0.3">
      <c r="A20" s="155"/>
      <c r="B20" s="156"/>
      <c r="C20" s="155"/>
      <c r="D20" s="156"/>
      <c r="E20" s="155"/>
      <c r="F20" s="155"/>
      <c r="G20" s="155"/>
      <c r="H20" s="155"/>
      <c r="I20" s="155"/>
      <c r="J20" s="155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93"/>
      <c r="AX20" s="93"/>
      <c r="AY20" s="93"/>
      <c r="AZ20" s="93"/>
      <c r="BA20" s="93"/>
      <c r="BB20" s="93"/>
      <c r="BC20" s="93"/>
      <c r="BD20" s="93"/>
      <c r="BE20" s="93"/>
      <c r="BF20" s="93"/>
      <c r="BG20" s="93"/>
      <c r="BH20" s="93"/>
      <c r="BI20" s="93"/>
      <c r="BJ20" s="93"/>
      <c r="BK20" s="93"/>
      <c r="BL20" s="163"/>
      <c r="BM20" s="163"/>
      <c r="BN20" s="157"/>
      <c r="BO20" s="92">
        <f t="shared" si="6"/>
        <v>100</v>
      </c>
      <c r="BP20" s="92">
        <f t="shared" si="7"/>
        <v>100</v>
      </c>
      <c r="BQ20" s="92">
        <f t="shared" si="8"/>
        <v>100</v>
      </c>
      <c r="BR20" s="92">
        <f t="shared" si="9"/>
        <v>100</v>
      </c>
      <c r="BS20" s="92">
        <f t="shared" si="10"/>
        <v>100</v>
      </c>
      <c r="BT20" s="92">
        <v>18</v>
      </c>
      <c r="BU20" s="92" t="s">
        <v>73</v>
      </c>
      <c r="BV20" s="92">
        <f t="shared" si="11"/>
        <v>0</v>
      </c>
      <c r="BW20" s="134"/>
    </row>
    <row r="21" spans="1:78" ht="15.75" thickBot="1" x14ac:dyDescent="0.3">
      <c r="A21" s="155"/>
      <c r="B21" s="156"/>
      <c r="C21" s="155"/>
      <c r="D21" s="156"/>
      <c r="E21" s="155"/>
      <c r="F21" s="155"/>
      <c r="G21" s="155"/>
      <c r="H21" s="155"/>
      <c r="I21" s="155"/>
      <c r="J21" s="155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3"/>
      <c r="BD21" s="93"/>
      <c r="BE21" s="93"/>
      <c r="BF21" s="93"/>
      <c r="BG21" s="93"/>
      <c r="BH21" s="93"/>
      <c r="BI21" s="93"/>
      <c r="BJ21" s="93"/>
      <c r="BK21" s="93"/>
      <c r="BL21" s="163"/>
      <c r="BM21" s="163"/>
      <c r="BN21" s="157"/>
      <c r="BO21" s="92">
        <f t="shared" si="6"/>
        <v>100</v>
      </c>
      <c r="BP21" s="92">
        <f t="shared" si="7"/>
        <v>100</v>
      </c>
      <c r="BQ21" s="92">
        <f t="shared" si="8"/>
        <v>100</v>
      </c>
      <c r="BR21" s="92">
        <f t="shared" si="9"/>
        <v>100</v>
      </c>
      <c r="BS21" s="92">
        <f t="shared" si="10"/>
        <v>100</v>
      </c>
      <c r="BT21" s="92">
        <v>19</v>
      </c>
      <c r="BU21" s="92" t="s">
        <v>73</v>
      </c>
      <c r="BV21" s="92">
        <f t="shared" si="11"/>
        <v>0</v>
      </c>
      <c r="BW21" s="134"/>
    </row>
    <row r="22" spans="1:78" ht="15.75" thickBot="1" x14ac:dyDescent="0.3">
      <c r="A22" s="155"/>
      <c r="B22" s="156"/>
      <c r="C22" s="155"/>
      <c r="D22" s="156"/>
      <c r="E22" s="155"/>
      <c r="F22" s="155"/>
      <c r="G22" s="155"/>
      <c r="H22" s="155"/>
      <c r="I22" s="155"/>
      <c r="J22" s="155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  <c r="BJ22" s="93"/>
      <c r="BK22" s="93"/>
      <c r="BL22" s="163"/>
      <c r="BM22" s="163"/>
      <c r="BN22" s="157"/>
      <c r="BO22" s="92">
        <f t="shared" si="6"/>
        <v>100</v>
      </c>
      <c r="BP22" s="92">
        <f t="shared" si="7"/>
        <v>100</v>
      </c>
      <c r="BQ22" s="92">
        <f t="shared" si="8"/>
        <v>100</v>
      </c>
      <c r="BR22" s="92">
        <f t="shared" si="9"/>
        <v>100</v>
      </c>
      <c r="BS22" s="92">
        <f t="shared" si="10"/>
        <v>100</v>
      </c>
      <c r="BT22" s="92">
        <v>20</v>
      </c>
      <c r="BU22" s="92" t="s">
        <v>73</v>
      </c>
      <c r="BV22" s="92">
        <f t="shared" si="11"/>
        <v>0</v>
      </c>
      <c r="BW22" s="134"/>
    </row>
    <row r="23" spans="1:78" ht="15.75" thickBot="1" x14ac:dyDescent="0.3">
      <c r="A23" s="155"/>
      <c r="B23" s="156"/>
      <c r="C23" s="155"/>
      <c r="D23" s="156"/>
      <c r="E23" s="155"/>
      <c r="F23" s="155"/>
      <c r="G23" s="155"/>
      <c r="H23" s="155"/>
      <c r="I23" s="155"/>
      <c r="J23" s="155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  <c r="BJ23" s="93"/>
      <c r="BK23" s="93"/>
      <c r="BL23" s="163"/>
      <c r="BM23" s="163"/>
      <c r="BN23" s="157"/>
      <c r="BO23" s="92">
        <f t="shared" si="6"/>
        <v>100</v>
      </c>
      <c r="BP23" s="92">
        <f t="shared" si="7"/>
        <v>100</v>
      </c>
      <c r="BQ23" s="92">
        <f t="shared" si="8"/>
        <v>100</v>
      </c>
      <c r="BR23" s="92">
        <f t="shared" si="9"/>
        <v>100</v>
      </c>
      <c r="BS23" s="92">
        <f t="shared" si="10"/>
        <v>100</v>
      </c>
      <c r="BT23" s="92">
        <v>21</v>
      </c>
      <c r="BU23" s="92" t="s">
        <v>73</v>
      </c>
      <c r="BV23" s="92">
        <f t="shared" si="11"/>
        <v>0</v>
      </c>
      <c r="BW23" s="134"/>
    </row>
    <row r="24" spans="1:78" ht="15.75" thickBot="1" x14ac:dyDescent="0.3">
      <c r="A24" s="155"/>
      <c r="B24" s="156"/>
      <c r="C24" s="155"/>
      <c r="D24" s="156"/>
      <c r="E24" s="155"/>
      <c r="F24" s="155"/>
      <c r="G24" s="155"/>
      <c r="H24" s="155"/>
      <c r="I24" s="155"/>
      <c r="J24" s="155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163"/>
      <c r="BM24" s="163"/>
      <c r="BN24" s="157"/>
      <c r="BO24" s="92">
        <f t="shared" si="6"/>
        <v>100</v>
      </c>
      <c r="BP24" s="92">
        <f t="shared" si="7"/>
        <v>100</v>
      </c>
      <c r="BQ24" s="92">
        <f t="shared" si="8"/>
        <v>100</v>
      </c>
      <c r="BR24" s="92">
        <f t="shared" si="9"/>
        <v>100</v>
      </c>
      <c r="BS24" s="92">
        <f t="shared" si="10"/>
        <v>100</v>
      </c>
      <c r="BT24" s="92">
        <v>22</v>
      </c>
      <c r="BU24" s="92" t="s">
        <v>73</v>
      </c>
      <c r="BV24" s="92">
        <f t="shared" si="11"/>
        <v>0</v>
      </c>
      <c r="BW24" s="134"/>
    </row>
    <row r="25" spans="1:78" ht="15.75" thickBot="1" x14ac:dyDescent="0.3">
      <c r="A25" s="155"/>
      <c r="B25" s="156"/>
      <c r="C25" s="155"/>
      <c r="D25" s="156"/>
      <c r="E25" s="155"/>
      <c r="F25" s="155"/>
      <c r="G25" s="155"/>
      <c r="H25" s="155"/>
      <c r="I25" s="155"/>
      <c r="J25" s="155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  <c r="BI25" s="93"/>
      <c r="BJ25" s="93"/>
      <c r="BK25" s="93"/>
      <c r="BL25" s="163"/>
      <c r="BM25" s="163"/>
      <c r="BN25" s="157"/>
      <c r="BO25" s="92">
        <f t="shared" si="6"/>
        <v>100</v>
      </c>
      <c r="BP25" s="92">
        <f t="shared" si="7"/>
        <v>100</v>
      </c>
      <c r="BQ25" s="92">
        <f t="shared" si="8"/>
        <v>100</v>
      </c>
      <c r="BR25" s="92">
        <f t="shared" si="9"/>
        <v>100</v>
      </c>
      <c r="BS25" s="92">
        <f t="shared" si="10"/>
        <v>100</v>
      </c>
      <c r="BT25" s="92">
        <v>23</v>
      </c>
      <c r="BU25" s="92" t="s">
        <v>73</v>
      </c>
      <c r="BV25" s="92">
        <f t="shared" si="11"/>
        <v>0</v>
      </c>
      <c r="BW25" s="134"/>
    </row>
    <row r="26" spans="1:78" ht="15.75" thickBot="1" x14ac:dyDescent="0.3">
      <c r="A26" s="155"/>
      <c r="B26" s="156"/>
      <c r="C26" s="155"/>
      <c r="D26" s="156"/>
      <c r="E26" s="155"/>
      <c r="F26" s="155"/>
      <c r="G26" s="155"/>
      <c r="H26" s="155"/>
      <c r="I26" s="155"/>
      <c r="J26" s="155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93"/>
      <c r="AX26" s="93"/>
      <c r="AY26" s="93"/>
      <c r="AZ26" s="93"/>
      <c r="BA26" s="93"/>
      <c r="BB26" s="93"/>
      <c r="BC26" s="93"/>
      <c r="BD26" s="93"/>
      <c r="BE26" s="93"/>
      <c r="BF26" s="93"/>
      <c r="BG26" s="93"/>
      <c r="BH26" s="93"/>
      <c r="BI26" s="93"/>
      <c r="BJ26" s="93"/>
      <c r="BK26" s="93"/>
      <c r="BL26" s="163"/>
      <c r="BM26" s="163"/>
      <c r="BN26" s="157"/>
      <c r="BO26" s="92">
        <f t="shared" si="6"/>
        <v>100</v>
      </c>
      <c r="BP26" s="92">
        <f t="shared" si="7"/>
        <v>100</v>
      </c>
      <c r="BQ26" s="92">
        <f t="shared" si="8"/>
        <v>100</v>
      </c>
      <c r="BR26" s="92">
        <f t="shared" si="9"/>
        <v>100</v>
      </c>
      <c r="BS26" s="92">
        <f t="shared" si="10"/>
        <v>100</v>
      </c>
      <c r="BT26" s="92">
        <v>24</v>
      </c>
      <c r="BU26" s="92" t="s">
        <v>73</v>
      </c>
      <c r="BV26" s="92">
        <f t="shared" si="11"/>
        <v>0</v>
      </c>
      <c r="BW26" s="134"/>
    </row>
    <row r="27" spans="1:78" ht="15.75" thickBot="1" x14ac:dyDescent="0.3">
      <c r="A27" s="155"/>
      <c r="B27" s="156"/>
      <c r="C27" s="155"/>
      <c r="D27" s="156"/>
      <c r="E27" s="155"/>
      <c r="F27" s="155"/>
      <c r="G27" s="155"/>
      <c r="H27" s="155"/>
      <c r="I27" s="155"/>
      <c r="J27" s="155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  <c r="BI27" s="93"/>
      <c r="BJ27" s="93"/>
      <c r="BK27" s="93"/>
      <c r="BL27" s="163"/>
      <c r="BM27" s="163"/>
      <c r="BN27" s="157"/>
      <c r="BO27" s="92">
        <f t="shared" si="6"/>
        <v>100</v>
      </c>
      <c r="BP27" s="92">
        <f t="shared" si="7"/>
        <v>100</v>
      </c>
      <c r="BQ27" s="92">
        <f t="shared" si="8"/>
        <v>100</v>
      </c>
      <c r="BR27" s="92">
        <f t="shared" si="9"/>
        <v>100</v>
      </c>
      <c r="BS27" s="92">
        <f t="shared" si="10"/>
        <v>100</v>
      </c>
      <c r="BT27" s="92">
        <v>25</v>
      </c>
      <c r="BU27" s="92" t="s">
        <v>73</v>
      </c>
      <c r="BV27" s="92">
        <f t="shared" si="11"/>
        <v>0</v>
      </c>
      <c r="BW27" s="134"/>
    </row>
    <row r="28" spans="1:78" ht="15.75" thickBot="1" x14ac:dyDescent="0.3">
      <c r="A28" s="155"/>
      <c r="B28" s="156"/>
      <c r="C28" s="155"/>
      <c r="D28" s="156"/>
      <c r="E28" s="155"/>
      <c r="F28" s="155"/>
      <c r="G28" s="155"/>
      <c r="H28" s="155"/>
      <c r="I28" s="155"/>
      <c r="J28" s="155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93"/>
      <c r="AX28" s="93"/>
      <c r="AY28" s="93"/>
      <c r="AZ28" s="93"/>
      <c r="BA28" s="93"/>
      <c r="BB28" s="93"/>
      <c r="BC28" s="93"/>
      <c r="BD28" s="93"/>
      <c r="BE28" s="93"/>
      <c r="BF28" s="93"/>
      <c r="BG28" s="93"/>
      <c r="BH28" s="93"/>
      <c r="BI28" s="93"/>
      <c r="BJ28" s="93"/>
      <c r="BK28" s="93"/>
      <c r="BL28" s="163"/>
      <c r="BM28" s="163"/>
      <c r="BN28" s="157"/>
      <c r="BO28" s="92">
        <f t="shared" si="6"/>
        <v>100</v>
      </c>
      <c r="BP28" s="92">
        <f t="shared" si="7"/>
        <v>100</v>
      </c>
      <c r="BQ28" s="92">
        <f t="shared" si="8"/>
        <v>100</v>
      </c>
      <c r="BR28" s="92">
        <f t="shared" si="9"/>
        <v>100</v>
      </c>
      <c r="BS28" s="92">
        <f t="shared" si="10"/>
        <v>100</v>
      </c>
      <c r="BT28" s="92">
        <v>26</v>
      </c>
      <c r="BU28" s="92" t="s">
        <v>73</v>
      </c>
      <c r="BV28" s="92">
        <f t="shared" si="11"/>
        <v>0</v>
      </c>
      <c r="BW28" s="134"/>
    </row>
    <row r="29" spans="1:78" ht="15.75" thickBot="1" x14ac:dyDescent="0.3">
      <c r="A29" s="155"/>
      <c r="B29" s="156"/>
      <c r="C29" s="155"/>
      <c r="D29" s="156"/>
      <c r="E29" s="155"/>
      <c r="F29" s="155"/>
      <c r="G29" s="155"/>
      <c r="H29" s="155"/>
      <c r="I29" s="155"/>
      <c r="J29" s="155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  <c r="BI29" s="93"/>
      <c r="BJ29" s="93"/>
      <c r="BK29" s="93"/>
      <c r="BL29" s="163"/>
      <c r="BM29" s="163"/>
      <c r="BN29" s="157"/>
      <c r="BO29" s="92">
        <f t="shared" si="6"/>
        <v>100</v>
      </c>
      <c r="BP29" s="92">
        <f t="shared" si="7"/>
        <v>100</v>
      </c>
      <c r="BQ29" s="92">
        <f t="shared" si="8"/>
        <v>100</v>
      </c>
      <c r="BR29" s="92">
        <f t="shared" si="9"/>
        <v>100</v>
      </c>
      <c r="BS29" s="92">
        <f t="shared" si="10"/>
        <v>100</v>
      </c>
      <c r="BT29" s="92">
        <v>27</v>
      </c>
      <c r="BU29" s="92" t="s">
        <v>73</v>
      </c>
      <c r="BV29" s="92">
        <f t="shared" si="11"/>
        <v>0</v>
      </c>
      <c r="BW29" s="134"/>
    </row>
    <row r="30" spans="1:78" ht="15.75" thickBot="1" x14ac:dyDescent="0.3">
      <c r="A30" s="155"/>
      <c r="B30" s="156"/>
      <c r="C30" s="155"/>
      <c r="D30" s="156"/>
      <c r="E30" s="155"/>
      <c r="F30" s="155"/>
      <c r="G30" s="155"/>
      <c r="H30" s="155"/>
      <c r="I30" s="155"/>
      <c r="J30" s="155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  <c r="BI30" s="93"/>
      <c r="BJ30" s="93"/>
      <c r="BK30" s="93"/>
      <c r="BL30" s="163"/>
      <c r="BM30" s="163"/>
      <c r="BN30" s="157"/>
      <c r="BO30" s="92">
        <f t="shared" si="6"/>
        <v>100</v>
      </c>
      <c r="BP30" s="92">
        <f t="shared" si="7"/>
        <v>100</v>
      </c>
      <c r="BQ30" s="92">
        <f t="shared" si="8"/>
        <v>100</v>
      </c>
      <c r="BR30" s="92">
        <f t="shared" si="9"/>
        <v>100</v>
      </c>
      <c r="BS30" s="92">
        <f t="shared" si="10"/>
        <v>100</v>
      </c>
      <c r="BT30" s="92">
        <v>28</v>
      </c>
      <c r="BU30" s="92" t="s">
        <v>73</v>
      </c>
      <c r="BV30" s="92">
        <f t="shared" si="11"/>
        <v>0</v>
      </c>
      <c r="BW30" s="134"/>
    </row>
    <row r="31" spans="1:78" ht="15.75" thickBot="1" x14ac:dyDescent="0.3">
      <c r="A31" s="155"/>
      <c r="B31" s="156"/>
      <c r="C31" s="155"/>
      <c r="D31" s="156"/>
      <c r="E31" s="155"/>
      <c r="F31" s="155"/>
      <c r="G31" s="155"/>
      <c r="H31" s="155"/>
      <c r="I31" s="155"/>
      <c r="J31" s="155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  <c r="BI31" s="93"/>
      <c r="BJ31" s="93"/>
      <c r="BK31" s="93"/>
      <c r="BL31" s="163"/>
      <c r="BM31" s="163"/>
      <c r="BN31" s="157"/>
      <c r="BO31" s="92">
        <f t="shared" si="6"/>
        <v>100</v>
      </c>
      <c r="BP31" s="92">
        <f t="shared" si="7"/>
        <v>100</v>
      </c>
      <c r="BQ31" s="92">
        <f t="shared" si="8"/>
        <v>100</v>
      </c>
      <c r="BR31" s="92">
        <f t="shared" si="9"/>
        <v>100</v>
      </c>
      <c r="BS31" s="92">
        <f t="shared" si="10"/>
        <v>100</v>
      </c>
      <c r="BT31" s="92">
        <v>29</v>
      </c>
      <c r="BU31" s="92" t="s">
        <v>73</v>
      </c>
      <c r="BV31" s="92">
        <f t="shared" si="11"/>
        <v>0</v>
      </c>
      <c r="BW31" s="134"/>
    </row>
    <row r="32" spans="1:78" ht="15.75" thickBot="1" x14ac:dyDescent="0.3">
      <c r="A32" s="155"/>
      <c r="B32" s="156"/>
      <c r="C32" s="155"/>
      <c r="D32" s="156"/>
      <c r="E32" s="155"/>
      <c r="F32" s="155"/>
      <c r="G32" s="155"/>
      <c r="H32" s="155"/>
      <c r="I32" s="155"/>
      <c r="J32" s="155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3"/>
      <c r="BH32" s="93"/>
      <c r="BI32" s="93"/>
      <c r="BJ32" s="93"/>
      <c r="BK32" s="93"/>
      <c r="BL32" s="163"/>
      <c r="BM32" s="163"/>
      <c r="BN32" s="157"/>
      <c r="BO32" s="92">
        <f t="shared" si="6"/>
        <v>100</v>
      </c>
      <c r="BP32" s="92">
        <f t="shared" si="7"/>
        <v>100</v>
      </c>
      <c r="BQ32" s="92">
        <f t="shared" si="8"/>
        <v>100</v>
      </c>
      <c r="BR32" s="92">
        <f t="shared" si="9"/>
        <v>100</v>
      </c>
      <c r="BS32" s="92">
        <f t="shared" si="10"/>
        <v>100</v>
      </c>
      <c r="BT32" s="92">
        <v>30</v>
      </c>
      <c r="BU32" s="92" t="s">
        <v>73</v>
      </c>
      <c r="BV32" s="92">
        <f t="shared" si="11"/>
        <v>0</v>
      </c>
      <c r="BW32" s="134"/>
    </row>
    <row r="33" spans="1:75" ht="15.75" thickBot="1" x14ac:dyDescent="0.3">
      <c r="A33" s="155"/>
      <c r="B33" s="156"/>
      <c r="C33" s="155"/>
      <c r="D33" s="156"/>
      <c r="E33" s="155"/>
      <c r="F33" s="155"/>
      <c r="G33" s="155"/>
      <c r="H33" s="155"/>
      <c r="I33" s="155"/>
      <c r="J33" s="155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  <c r="BI33" s="93"/>
      <c r="BJ33" s="93"/>
      <c r="BK33" s="93"/>
      <c r="BL33" s="163"/>
      <c r="BM33" s="163"/>
      <c r="BN33" s="157"/>
      <c r="BO33" s="92">
        <f t="shared" si="6"/>
        <v>100</v>
      </c>
      <c r="BP33" s="92">
        <f t="shared" si="7"/>
        <v>100</v>
      </c>
      <c r="BQ33" s="92">
        <f t="shared" si="8"/>
        <v>100</v>
      </c>
      <c r="BR33" s="92">
        <f t="shared" si="9"/>
        <v>100</v>
      </c>
      <c r="BS33" s="92">
        <f t="shared" si="10"/>
        <v>100</v>
      </c>
      <c r="BT33" s="92">
        <v>31</v>
      </c>
      <c r="BU33" s="92" t="s">
        <v>73</v>
      </c>
      <c r="BV33" s="92">
        <f t="shared" si="11"/>
        <v>0</v>
      </c>
      <c r="BW33" s="134"/>
    </row>
    <row r="34" spans="1:75" ht="15.75" thickBot="1" x14ac:dyDescent="0.3">
      <c r="A34" s="155"/>
      <c r="B34" s="156"/>
      <c r="C34" s="155"/>
      <c r="D34" s="156"/>
      <c r="E34" s="155"/>
      <c r="F34" s="155"/>
      <c r="G34" s="155"/>
      <c r="H34" s="155"/>
      <c r="I34" s="155"/>
      <c r="J34" s="155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163"/>
      <c r="BM34" s="163"/>
      <c r="BN34" s="157"/>
      <c r="BO34" s="92">
        <f t="shared" si="6"/>
        <v>100</v>
      </c>
      <c r="BP34" s="92">
        <f t="shared" si="7"/>
        <v>100</v>
      </c>
      <c r="BQ34" s="92">
        <f t="shared" si="8"/>
        <v>100</v>
      </c>
      <c r="BR34" s="92">
        <f t="shared" si="9"/>
        <v>100</v>
      </c>
      <c r="BS34" s="92">
        <f t="shared" si="10"/>
        <v>100</v>
      </c>
      <c r="BT34" s="92">
        <v>32</v>
      </c>
      <c r="BU34" s="92" t="s">
        <v>73</v>
      </c>
      <c r="BV34" s="92">
        <f t="shared" si="11"/>
        <v>0</v>
      </c>
      <c r="BW34" s="134"/>
    </row>
    <row r="35" spans="1:75" ht="15.75" thickBot="1" x14ac:dyDescent="0.3">
      <c r="A35" s="155"/>
      <c r="B35" s="156"/>
      <c r="C35" s="155"/>
      <c r="D35" s="156"/>
      <c r="E35" s="155"/>
      <c r="F35" s="155"/>
      <c r="G35" s="155"/>
      <c r="H35" s="155"/>
      <c r="I35" s="155"/>
      <c r="J35" s="155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  <c r="BI35" s="93"/>
      <c r="BJ35" s="93"/>
      <c r="BK35" s="93"/>
      <c r="BL35" s="163"/>
      <c r="BM35" s="163"/>
      <c r="BN35" s="157"/>
      <c r="BO35" s="92">
        <f t="shared" si="6"/>
        <v>100</v>
      </c>
      <c r="BP35" s="92">
        <f t="shared" ref="BP35:BP52" si="12">IF(AE35="NO",0,$AE$1)+IF(AF35="NO",0,$AF$1)+IF(AG35="NO",0,$AG$1)+IF(AH35="NO",0,$AH$1)+IF(AI35="NO",0,$AI$1)+IF(AJ35="NO",0,$AJ$1)+IF(AK35="NO",0,$AK$1)+IF(AL35="NO",0,$AL$1)+IF(AM35="NO",0,$AM$1)+IF(AN35="NO",0,$AN$1)+IF(AO35="NO",0,$AO$1)+IF(AP35="NO",0,$AP$1)+IF(AQ35="NO",0,$AQ$1)+IF(AR35="NO",0,$AR$1)+IF(AS35="NO",0,$AS$1)+IF(AT35="NO",0,$AT$1)</f>
        <v>100</v>
      </c>
      <c r="BQ35" s="92">
        <f t="shared" ref="BQ35:BQ52" si="13">IF(AU35="NO",0,$AU$1)+IF(AV35="NO",0,$AV$1)+IF(AW35="NO",0,$AW$1)+IF(AX35="NO",0,$AX$1)+IF(AY35="NO",0,$AY$1)+IF(AZ35="NO",0,$AZ$1)+IF(BA35="NO",0,$BA$1)+IF(BB35="NO",0,$BB$1)+IF(BC35="NO",0,$BC$1)</f>
        <v>100</v>
      </c>
      <c r="BR35" s="92">
        <f t="shared" ref="BR35:BR52" si="14">IF(BD35="NO",0,$BD$1)+IF(BE35="NO",0,$BE$1)+IF(BF35="NO",0,$BF$1)+IF(BG35="NO",0,$BG$1)+IF(BH35="NO",0,$BH$1)+IF(BI35="NO",0,$BI$1)</f>
        <v>100</v>
      </c>
      <c r="BS35" s="92">
        <f t="shared" ref="BS35:BS52" si="15">IF(BJ35="NO",0,$BJ$1)</f>
        <v>100</v>
      </c>
      <c r="BT35" s="92">
        <v>33</v>
      </c>
      <c r="BU35" s="92" t="s">
        <v>73</v>
      </c>
      <c r="BV35" s="92">
        <f t="shared" si="11"/>
        <v>0</v>
      </c>
      <c r="BW35" s="134"/>
    </row>
    <row r="36" spans="1:75" ht="15.75" thickBot="1" x14ac:dyDescent="0.3">
      <c r="A36" s="155"/>
      <c r="B36" s="156"/>
      <c r="C36" s="155"/>
      <c r="D36" s="156"/>
      <c r="E36" s="155"/>
      <c r="F36" s="155"/>
      <c r="G36" s="155"/>
      <c r="H36" s="155"/>
      <c r="I36" s="155"/>
      <c r="J36" s="155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  <c r="BI36" s="93"/>
      <c r="BJ36" s="93"/>
      <c r="BK36" s="93"/>
      <c r="BL36" s="163"/>
      <c r="BM36" s="163"/>
      <c r="BN36" s="157"/>
      <c r="BO36" s="92">
        <f t="shared" si="6"/>
        <v>100</v>
      </c>
      <c r="BP36" s="92">
        <f t="shared" si="12"/>
        <v>100</v>
      </c>
      <c r="BQ36" s="92">
        <f t="shared" si="13"/>
        <v>100</v>
      </c>
      <c r="BR36" s="92">
        <f t="shared" si="14"/>
        <v>100</v>
      </c>
      <c r="BS36" s="92">
        <f t="shared" si="15"/>
        <v>100</v>
      </c>
      <c r="BT36" s="92">
        <v>34</v>
      </c>
      <c r="BU36" s="92" t="s">
        <v>73</v>
      </c>
      <c r="BV36" s="92">
        <f t="shared" si="11"/>
        <v>0</v>
      </c>
      <c r="BW36" s="134"/>
    </row>
    <row r="37" spans="1:75" ht="15.75" thickBot="1" x14ac:dyDescent="0.3">
      <c r="A37" s="155"/>
      <c r="B37" s="156"/>
      <c r="C37" s="155"/>
      <c r="D37" s="156"/>
      <c r="E37" s="155"/>
      <c r="F37" s="155"/>
      <c r="G37" s="155"/>
      <c r="H37" s="155"/>
      <c r="I37" s="155"/>
      <c r="J37" s="155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  <c r="BI37" s="93"/>
      <c r="BJ37" s="93"/>
      <c r="BK37" s="93"/>
      <c r="BL37" s="163"/>
      <c r="BM37" s="163"/>
      <c r="BN37" s="157"/>
      <c r="BO37" s="92">
        <f t="shared" si="6"/>
        <v>100</v>
      </c>
      <c r="BP37" s="92">
        <f t="shared" si="12"/>
        <v>100</v>
      </c>
      <c r="BQ37" s="92">
        <f t="shared" si="13"/>
        <v>100</v>
      </c>
      <c r="BR37" s="92">
        <f t="shared" si="14"/>
        <v>100</v>
      </c>
      <c r="BS37" s="92">
        <f t="shared" si="15"/>
        <v>100</v>
      </c>
      <c r="BT37" s="92">
        <v>35</v>
      </c>
      <c r="BU37" s="92" t="s">
        <v>73</v>
      </c>
      <c r="BV37" s="92">
        <f t="shared" si="11"/>
        <v>0</v>
      </c>
      <c r="BW37" s="134"/>
    </row>
    <row r="38" spans="1:75" ht="15.75" thickBot="1" x14ac:dyDescent="0.3">
      <c r="A38" s="155"/>
      <c r="B38" s="156"/>
      <c r="C38" s="155"/>
      <c r="D38" s="156"/>
      <c r="E38" s="155"/>
      <c r="F38" s="155"/>
      <c r="G38" s="155"/>
      <c r="H38" s="155"/>
      <c r="I38" s="155"/>
      <c r="J38" s="155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93"/>
      <c r="AX38" s="93"/>
      <c r="AY38" s="93"/>
      <c r="AZ38" s="93"/>
      <c r="BA38" s="93"/>
      <c r="BB38" s="93"/>
      <c r="BC38" s="93"/>
      <c r="BD38" s="93"/>
      <c r="BE38" s="93"/>
      <c r="BF38" s="93"/>
      <c r="BG38" s="93"/>
      <c r="BH38" s="93"/>
      <c r="BI38" s="93"/>
      <c r="BJ38" s="93"/>
      <c r="BK38" s="93"/>
      <c r="BL38" s="163"/>
      <c r="BM38" s="163"/>
      <c r="BN38" s="157"/>
      <c r="BO38" s="92">
        <f t="shared" si="6"/>
        <v>100</v>
      </c>
      <c r="BP38" s="92">
        <f t="shared" si="12"/>
        <v>100</v>
      </c>
      <c r="BQ38" s="92">
        <f t="shared" si="13"/>
        <v>100</v>
      </c>
      <c r="BR38" s="92">
        <f t="shared" si="14"/>
        <v>100</v>
      </c>
      <c r="BS38" s="92">
        <f t="shared" si="15"/>
        <v>100</v>
      </c>
      <c r="BT38" s="92">
        <v>36</v>
      </c>
      <c r="BU38" s="92" t="s">
        <v>73</v>
      </c>
      <c r="BV38" s="92">
        <f t="shared" si="11"/>
        <v>0</v>
      </c>
      <c r="BW38" s="134"/>
    </row>
    <row r="39" spans="1:75" ht="15.75" thickBot="1" x14ac:dyDescent="0.3">
      <c r="A39" s="155"/>
      <c r="B39" s="156"/>
      <c r="C39" s="155"/>
      <c r="D39" s="156"/>
      <c r="E39" s="155"/>
      <c r="F39" s="155"/>
      <c r="G39" s="155"/>
      <c r="H39" s="155"/>
      <c r="I39" s="155"/>
      <c r="J39" s="155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  <c r="BI39" s="93"/>
      <c r="BJ39" s="93"/>
      <c r="BK39" s="93"/>
      <c r="BL39" s="163"/>
      <c r="BM39" s="163"/>
      <c r="BN39" s="157"/>
      <c r="BO39" s="92">
        <f t="shared" si="6"/>
        <v>100</v>
      </c>
      <c r="BP39" s="92">
        <f t="shared" si="12"/>
        <v>100</v>
      </c>
      <c r="BQ39" s="92">
        <f t="shared" si="13"/>
        <v>100</v>
      </c>
      <c r="BR39" s="92">
        <f t="shared" si="14"/>
        <v>100</v>
      </c>
      <c r="BS39" s="92">
        <f t="shared" si="15"/>
        <v>100</v>
      </c>
      <c r="BT39" s="92">
        <v>37</v>
      </c>
      <c r="BU39" s="92" t="s">
        <v>73</v>
      </c>
      <c r="BV39" s="92">
        <f t="shared" si="11"/>
        <v>0</v>
      </c>
      <c r="BW39" s="134"/>
    </row>
    <row r="40" spans="1:75" ht="15.75" thickBot="1" x14ac:dyDescent="0.3">
      <c r="A40" s="155"/>
      <c r="B40" s="156"/>
      <c r="C40" s="155"/>
      <c r="D40" s="156"/>
      <c r="E40" s="155"/>
      <c r="F40" s="155"/>
      <c r="G40" s="155"/>
      <c r="H40" s="155"/>
      <c r="I40" s="155"/>
      <c r="J40" s="155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3"/>
      <c r="AS40" s="93"/>
      <c r="AT40" s="93"/>
      <c r="AU40" s="93"/>
      <c r="AV40" s="93"/>
      <c r="AW40" s="93"/>
      <c r="AX40" s="93"/>
      <c r="AY40" s="93"/>
      <c r="AZ40" s="93"/>
      <c r="BA40" s="93"/>
      <c r="BB40" s="93"/>
      <c r="BC40" s="93"/>
      <c r="BD40" s="93"/>
      <c r="BE40" s="93"/>
      <c r="BF40" s="93"/>
      <c r="BG40" s="93"/>
      <c r="BH40" s="93"/>
      <c r="BI40" s="93"/>
      <c r="BJ40" s="93"/>
      <c r="BK40" s="93"/>
      <c r="BL40" s="163"/>
      <c r="BM40" s="163"/>
      <c r="BN40" s="157"/>
      <c r="BO40" s="92">
        <f t="shared" si="6"/>
        <v>100</v>
      </c>
      <c r="BP40" s="92">
        <f t="shared" si="12"/>
        <v>100</v>
      </c>
      <c r="BQ40" s="92">
        <f t="shared" si="13"/>
        <v>100</v>
      </c>
      <c r="BR40" s="92">
        <f t="shared" si="14"/>
        <v>100</v>
      </c>
      <c r="BS40" s="92">
        <f t="shared" si="15"/>
        <v>100</v>
      </c>
      <c r="BT40" s="92">
        <v>38</v>
      </c>
      <c r="BU40" s="92" t="s">
        <v>73</v>
      </c>
      <c r="BV40" s="92">
        <f t="shared" si="11"/>
        <v>0</v>
      </c>
      <c r="BW40" s="134"/>
    </row>
    <row r="41" spans="1:75" ht="15.75" thickBot="1" x14ac:dyDescent="0.3">
      <c r="A41" s="155"/>
      <c r="B41" s="156"/>
      <c r="C41" s="155"/>
      <c r="D41" s="156"/>
      <c r="E41" s="155"/>
      <c r="F41" s="155"/>
      <c r="G41" s="155"/>
      <c r="H41" s="155"/>
      <c r="I41" s="155"/>
      <c r="J41" s="155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  <c r="BI41" s="93"/>
      <c r="BJ41" s="93"/>
      <c r="BK41" s="93"/>
      <c r="BL41" s="163"/>
      <c r="BM41" s="163"/>
      <c r="BN41" s="157"/>
      <c r="BO41" s="92">
        <f t="shared" si="6"/>
        <v>100</v>
      </c>
      <c r="BP41" s="92">
        <f t="shared" si="12"/>
        <v>100</v>
      </c>
      <c r="BQ41" s="92">
        <f t="shared" si="13"/>
        <v>100</v>
      </c>
      <c r="BR41" s="92">
        <f t="shared" si="14"/>
        <v>100</v>
      </c>
      <c r="BS41" s="92">
        <f t="shared" si="15"/>
        <v>100</v>
      </c>
      <c r="BT41" s="92">
        <v>39</v>
      </c>
      <c r="BU41" s="92" t="s">
        <v>73</v>
      </c>
      <c r="BV41" s="92">
        <f t="shared" si="11"/>
        <v>0</v>
      </c>
      <c r="BW41" s="134"/>
    </row>
    <row r="42" spans="1:75" ht="15.75" thickBot="1" x14ac:dyDescent="0.3">
      <c r="A42" s="155"/>
      <c r="B42" s="156"/>
      <c r="C42" s="155"/>
      <c r="D42" s="156"/>
      <c r="E42" s="155"/>
      <c r="F42" s="155"/>
      <c r="G42" s="155"/>
      <c r="H42" s="155"/>
      <c r="I42" s="155"/>
      <c r="J42" s="155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163"/>
      <c r="BM42" s="163"/>
      <c r="BN42" s="157"/>
      <c r="BO42" s="92">
        <f t="shared" si="6"/>
        <v>100</v>
      </c>
      <c r="BP42" s="92">
        <f t="shared" si="12"/>
        <v>100</v>
      </c>
      <c r="BQ42" s="92">
        <f t="shared" si="13"/>
        <v>100</v>
      </c>
      <c r="BR42" s="92">
        <f t="shared" si="14"/>
        <v>100</v>
      </c>
      <c r="BS42" s="92">
        <f t="shared" si="15"/>
        <v>100</v>
      </c>
      <c r="BT42" s="92">
        <v>40</v>
      </c>
      <c r="BU42" s="92" t="s">
        <v>73</v>
      </c>
      <c r="BV42" s="92">
        <f t="shared" si="11"/>
        <v>0</v>
      </c>
      <c r="BW42" s="134"/>
    </row>
    <row r="43" spans="1:75" ht="15.75" thickBot="1" x14ac:dyDescent="0.3">
      <c r="A43" s="155"/>
      <c r="B43" s="156"/>
      <c r="C43" s="155"/>
      <c r="D43" s="156"/>
      <c r="E43" s="155"/>
      <c r="F43" s="155"/>
      <c r="G43" s="155"/>
      <c r="H43" s="155"/>
      <c r="I43" s="155"/>
      <c r="J43" s="155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  <c r="BI43" s="93"/>
      <c r="BJ43" s="93"/>
      <c r="BK43" s="93"/>
      <c r="BL43" s="163"/>
      <c r="BM43" s="163"/>
      <c r="BN43" s="157"/>
      <c r="BO43" s="92">
        <f t="shared" si="6"/>
        <v>100</v>
      </c>
      <c r="BP43" s="92">
        <f t="shared" si="12"/>
        <v>100</v>
      </c>
      <c r="BQ43" s="92">
        <f t="shared" si="13"/>
        <v>100</v>
      </c>
      <c r="BR43" s="92">
        <f t="shared" si="14"/>
        <v>100</v>
      </c>
      <c r="BS43" s="92">
        <f t="shared" si="15"/>
        <v>100</v>
      </c>
      <c r="BT43" s="92">
        <v>41</v>
      </c>
      <c r="BU43" s="92" t="s">
        <v>73</v>
      </c>
      <c r="BV43" s="92">
        <f t="shared" si="11"/>
        <v>0</v>
      </c>
      <c r="BW43" s="134"/>
    </row>
    <row r="44" spans="1:75" ht="15.75" thickBot="1" x14ac:dyDescent="0.3">
      <c r="A44" s="155"/>
      <c r="B44" s="156"/>
      <c r="C44" s="155"/>
      <c r="D44" s="156"/>
      <c r="E44" s="155"/>
      <c r="F44" s="155"/>
      <c r="G44" s="155"/>
      <c r="H44" s="155"/>
      <c r="I44" s="155"/>
      <c r="J44" s="155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163"/>
      <c r="BM44" s="163"/>
      <c r="BN44" s="157"/>
      <c r="BO44" s="92">
        <f t="shared" si="6"/>
        <v>100</v>
      </c>
      <c r="BP44" s="92">
        <f t="shared" si="12"/>
        <v>100</v>
      </c>
      <c r="BQ44" s="92">
        <f t="shared" si="13"/>
        <v>100</v>
      </c>
      <c r="BR44" s="92">
        <f t="shared" si="14"/>
        <v>100</v>
      </c>
      <c r="BS44" s="92">
        <f t="shared" si="15"/>
        <v>100</v>
      </c>
      <c r="BT44" s="92">
        <v>42</v>
      </c>
      <c r="BU44" s="92" t="s">
        <v>73</v>
      </c>
      <c r="BV44" s="92">
        <f t="shared" si="11"/>
        <v>0</v>
      </c>
      <c r="BW44" s="134"/>
    </row>
    <row r="45" spans="1:75" ht="15.75" thickBot="1" x14ac:dyDescent="0.3">
      <c r="A45" s="155"/>
      <c r="B45" s="156"/>
      <c r="C45" s="155"/>
      <c r="D45" s="156"/>
      <c r="E45" s="155"/>
      <c r="F45" s="155"/>
      <c r="G45" s="155"/>
      <c r="H45" s="155"/>
      <c r="I45" s="155"/>
      <c r="J45" s="155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  <c r="BI45" s="93"/>
      <c r="BJ45" s="93"/>
      <c r="BK45" s="93"/>
      <c r="BL45" s="163"/>
      <c r="BM45" s="163"/>
      <c r="BN45" s="157"/>
      <c r="BO45" s="92">
        <f t="shared" si="6"/>
        <v>100</v>
      </c>
      <c r="BP45" s="92">
        <f t="shared" si="12"/>
        <v>100</v>
      </c>
      <c r="BQ45" s="92">
        <f t="shared" si="13"/>
        <v>100</v>
      </c>
      <c r="BR45" s="92">
        <f t="shared" si="14"/>
        <v>100</v>
      </c>
      <c r="BS45" s="92">
        <f t="shared" si="15"/>
        <v>100</v>
      </c>
      <c r="BT45" s="92">
        <v>43</v>
      </c>
      <c r="BU45" s="92" t="s">
        <v>73</v>
      </c>
      <c r="BV45" s="92">
        <f t="shared" si="11"/>
        <v>0</v>
      </c>
      <c r="BW45" s="134"/>
    </row>
    <row r="46" spans="1:75" ht="15.75" thickBot="1" x14ac:dyDescent="0.3">
      <c r="A46" s="155"/>
      <c r="B46" s="156"/>
      <c r="C46" s="155"/>
      <c r="D46" s="156"/>
      <c r="E46" s="155"/>
      <c r="F46" s="155"/>
      <c r="G46" s="155"/>
      <c r="H46" s="155"/>
      <c r="I46" s="155"/>
      <c r="J46" s="155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163"/>
      <c r="BM46" s="163"/>
      <c r="BN46" s="157"/>
      <c r="BO46" s="92">
        <f t="shared" si="6"/>
        <v>100</v>
      </c>
      <c r="BP46" s="92">
        <f t="shared" si="12"/>
        <v>100</v>
      </c>
      <c r="BQ46" s="92">
        <f t="shared" si="13"/>
        <v>100</v>
      </c>
      <c r="BR46" s="92">
        <f t="shared" si="14"/>
        <v>100</v>
      </c>
      <c r="BS46" s="92">
        <f t="shared" si="15"/>
        <v>100</v>
      </c>
      <c r="BT46" s="92">
        <v>44</v>
      </c>
      <c r="BU46" s="92" t="s">
        <v>73</v>
      </c>
      <c r="BV46" s="92">
        <f t="shared" si="11"/>
        <v>0</v>
      </c>
      <c r="BW46" s="134"/>
    </row>
    <row r="47" spans="1:75" ht="15.75" thickBot="1" x14ac:dyDescent="0.3">
      <c r="A47" s="155"/>
      <c r="B47" s="156"/>
      <c r="C47" s="155"/>
      <c r="D47" s="156"/>
      <c r="E47" s="155"/>
      <c r="F47" s="155"/>
      <c r="G47" s="155"/>
      <c r="H47" s="155"/>
      <c r="I47" s="155"/>
      <c r="J47" s="155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  <c r="BI47" s="93"/>
      <c r="BJ47" s="93"/>
      <c r="BK47" s="93"/>
      <c r="BL47" s="163"/>
      <c r="BM47" s="163"/>
      <c r="BN47" s="157"/>
      <c r="BO47" s="92">
        <f t="shared" si="6"/>
        <v>100</v>
      </c>
      <c r="BP47" s="92">
        <f t="shared" si="12"/>
        <v>100</v>
      </c>
      <c r="BQ47" s="92">
        <f t="shared" si="13"/>
        <v>100</v>
      </c>
      <c r="BR47" s="92">
        <f t="shared" si="14"/>
        <v>100</v>
      </c>
      <c r="BS47" s="92">
        <f t="shared" si="15"/>
        <v>100</v>
      </c>
      <c r="BT47" s="92">
        <v>45</v>
      </c>
      <c r="BU47" s="92" t="s">
        <v>73</v>
      </c>
      <c r="BV47" s="92">
        <f t="shared" si="11"/>
        <v>0</v>
      </c>
      <c r="BW47" s="134"/>
    </row>
    <row r="48" spans="1:75" ht="15.75" thickBot="1" x14ac:dyDescent="0.3">
      <c r="A48" s="155"/>
      <c r="B48" s="156"/>
      <c r="C48" s="155"/>
      <c r="D48" s="156"/>
      <c r="E48" s="155"/>
      <c r="F48" s="155"/>
      <c r="G48" s="155"/>
      <c r="H48" s="155"/>
      <c r="I48" s="155"/>
      <c r="J48" s="155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163"/>
      <c r="BM48" s="163"/>
      <c r="BN48" s="157"/>
      <c r="BO48" s="92">
        <f t="shared" si="6"/>
        <v>100</v>
      </c>
      <c r="BP48" s="92">
        <f t="shared" si="12"/>
        <v>100</v>
      </c>
      <c r="BQ48" s="92">
        <f t="shared" si="13"/>
        <v>100</v>
      </c>
      <c r="BR48" s="92">
        <f t="shared" si="14"/>
        <v>100</v>
      </c>
      <c r="BS48" s="92">
        <f t="shared" si="15"/>
        <v>100</v>
      </c>
      <c r="BT48" s="92">
        <v>46</v>
      </c>
      <c r="BU48" s="92" t="s">
        <v>73</v>
      </c>
      <c r="BV48" s="92">
        <f t="shared" si="11"/>
        <v>0</v>
      </c>
      <c r="BW48" s="134"/>
    </row>
    <row r="49" spans="1:75" ht="15.75" thickBot="1" x14ac:dyDescent="0.3">
      <c r="A49" s="155"/>
      <c r="B49" s="156"/>
      <c r="C49" s="155"/>
      <c r="D49" s="156"/>
      <c r="E49" s="155"/>
      <c r="F49" s="155"/>
      <c r="G49" s="155"/>
      <c r="H49" s="155"/>
      <c r="I49" s="155"/>
      <c r="J49" s="155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  <c r="BI49" s="93"/>
      <c r="BJ49" s="93"/>
      <c r="BK49" s="93"/>
      <c r="BL49" s="163"/>
      <c r="BM49" s="163"/>
      <c r="BN49" s="157"/>
      <c r="BO49" s="92">
        <f t="shared" si="6"/>
        <v>100</v>
      </c>
      <c r="BP49" s="92">
        <f t="shared" si="12"/>
        <v>100</v>
      </c>
      <c r="BQ49" s="92">
        <f t="shared" si="13"/>
        <v>100</v>
      </c>
      <c r="BR49" s="92">
        <f t="shared" si="14"/>
        <v>100</v>
      </c>
      <c r="BS49" s="92">
        <f t="shared" si="15"/>
        <v>100</v>
      </c>
      <c r="BT49" s="92">
        <v>47</v>
      </c>
      <c r="BU49" s="92" t="s">
        <v>73</v>
      </c>
      <c r="BV49" s="92">
        <f t="shared" si="11"/>
        <v>0</v>
      </c>
      <c r="BW49" s="134"/>
    </row>
    <row r="50" spans="1:75" ht="15.75" thickBot="1" x14ac:dyDescent="0.3">
      <c r="A50" s="155"/>
      <c r="B50" s="156"/>
      <c r="C50" s="155"/>
      <c r="D50" s="156"/>
      <c r="E50" s="155"/>
      <c r="F50" s="155"/>
      <c r="G50" s="155"/>
      <c r="H50" s="155"/>
      <c r="I50" s="155"/>
      <c r="J50" s="155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3"/>
      <c r="AT50" s="93"/>
      <c r="AU50" s="93"/>
      <c r="AV50" s="93"/>
      <c r="AW50" s="93"/>
      <c r="AX50" s="93"/>
      <c r="AY50" s="93"/>
      <c r="AZ50" s="93"/>
      <c r="BA50" s="93"/>
      <c r="BB50" s="93"/>
      <c r="BC50" s="93"/>
      <c r="BD50" s="93"/>
      <c r="BE50" s="93"/>
      <c r="BF50" s="93"/>
      <c r="BG50" s="93"/>
      <c r="BH50" s="93"/>
      <c r="BI50" s="93"/>
      <c r="BJ50" s="93"/>
      <c r="BK50" s="93"/>
      <c r="BL50" s="163"/>
      <c r="BM50" s="163"/>
      <c r="BN50" s="157"/>
      <c r="BO50" s="92">
        <f t="shared" si="6"/>
        <v>100</v>
      </c>
      <c r="BP50" s="92">
        <f t="shared" si="12"/>
        <v>100</v>
      </c>
      <c r="BQ50" s="92">
        <f t="shared" si="13"/>
        <v>100</v>
      </c>
      <c r="BR50" s="92">
        <f t="shared" si="14"/>
        <v>100</v>
      </c>
      <c r="BS50" s="92">
        <f t="shared" si="15"/>
        <v>100</v>
      </c>
      <c r="BT50" s="92">
        <v>48</v>
      </c>
      <c r="BU50" s="92" t="s">
        <v>73</v>
      </c>
      <c r="BV50" s="92">
        <f t="shared" si="11"/>
        <v>0</v>
      </c>
      <c r="BW50" s="134"/>
    </row>
    <row r="51" spans="1:75" ht="15.75" thickBot="1" x14ac:dyDescent="0.3">
      <c r="A51" s="155"/>
      <c r="B51" s="156"/>
      <c r="C51" s="155"/>
      <c r="D51" s="156"/>
      <c r="E51" s="155"/>
      <c r="F51" s="155"/>
      <c r="G51" s="155"/>
      <c r="H51" s="155"/>
      <c r="I51" s="155"/>
      <c r="J51" s="155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  <c r="BI51" s="93"/>
      <c r="BJ51" s="93"/>
      <c r="BK51" s="93"/>
      <c r="BL51" s="163"/>
      <c r="BM51" s="163"/>
      <c r="BN51" s="157"/>
      <c r="BO51" s="92">
        <f t="shared" si="6"/>
        <v>100</v>
      </c>
      <c r="BP51" s="92">
        <f t="shared" si="12"/>
        <v>100</v>
      </c>
      <c r="BQ51" s="92">
        <f t="shared" si="13"/>
        <v>100</v>
      </c>
      <c r="BR51" s="92">
        <f t="shared" si="14"/>
        <v>100</v>
      </c>
      <c r="BS51" s="92">
        <f t="shared" si="15"/>
        <v>100</v>
      </c>
      <c r="BT51" s="92">
        <v>49</v>
      </c>
      <c r="BU51" s="92" t="s">
        <v>73</v>
      </c>
      <c r="BV51" s="92">
        <f t="shared" si="11"/>
        <v>0</v>
      </c>
      <c r="BW51" s="134"/>
    </row>
    <row r="52" spans="1:75" ht="15.75" thickBot="1" x14ac:dyDescent="0.3">
      <c r="A52" s="155"/>
      <c r="B52" s="156"/>
      <c r="C52" s="155"/>
      <c r="D52" s="156"/>
      <c r="E52" s="155"/>
      <c r="F52" s="155"/>
      <c r="G52" s="155"/>
      <c r="H52" s="155"/>
      <c r="I52" s="155"/>
      <c r="J52" s="155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93"/>
      <c r="BH52" s="93"/>
      <c r="BI52" s="93"/>
      <c r="BJ52" s="93"/>
      <c r="BK52" s="93"/>
      <c r="BL52" s="163"/>
      <c r="BM52" s="163"/>
      <c r="BN52" s="157"/>
      <c r="BO52" s="92">
        <f t="shared" si="6"/>
        <v>100</v>
      </c>
      <c r="BP52" s="92">
        <f t="shared" si="12"/>
        <v>100</v>
      </c>
      <c r="BQ52" s="92">
        <f t="shared" si="13"/>
        <v>100</v>
      </c>
      <c r="BR52" s="92">
        <f t="shared" si="14"/>
        <v>100</v>
      </c>
      <c r="BS52" s="92">
        <f t="shared" si="15"/>
        <v>100</v>
      </c>
      <c r="BT52" s="92">
        <v>50</v>
      </c>
      <c r="BU52" s="92" t="s">
        <v>73</v>
      </c>
      <c r="BV52" s="92">
        <f t="shared" si="11"/>
        <v>0</v>
      </c>
      <c r="BW52" s="134"/>
    </row>
  </sheetData>
  <conditionalFormatting sqref="K4:BJ52 K3:BH3 BL3:BN3">
    <cfRule type="containsText" dxfId="87" priority="229" operator="containsText" text="NO">
      <formula>NOT(ISERROR(SEARCH("NO",K3)))</formula>
    </cfRule>
  </conditionalFormatting>
  <conditionalFormatting sqref="K4:BU52 K3:BH3 BL3:BU3">
    <cfRule type="containsBlanks" dxfId="86" priority="222">
      <formula>LEN(TRIM(K3))=0</formula>
    </cfRule>
    <cfRule type="containsText" dxfId="85" priority="225" operator="containsText" text="NO">
      <formula>NOT(ISERROR(SEARCH("NO",K3)))</formula>
    </cfRule>
  </conditionalFormatting>
  <conditionalFormatting sqref="J1 J8:J1048576">
    <cfRule type="duplicateValues" dxfId="84" priority="211"/>
    <cfRule type="duplicateValues" dxfId="83" priority="231"/>
  </conditionalFormatting>
  <conditionalFormatting sqref="L5">
    <cfRule type="containsText" dxfId="82" priority="208" operator="containsText" text="#N/A">
      <formula>NOT(ISERROR(SEARCH("#N/A",L5)))</formula>
    </cfRule>
    <cfRule type="cellIs" dxfId="81" priority="209" operator="lessThan">
      <formula>1</formula>
    </cfRule>
    <cfRule type="cellIs" dxfId="80" priority="210" operator="lessThan">
      <formula>1</formula>
    </cfRule>
  </conditionalFormatting>
  <conditionalFormatting sqref="J1 J8:J1048576">
    <cfRule type="duplicateValues" dxfId="79" priority="199"/>
  </conditionalFormatting>
  <conditionalFormatting sqref="A1 A37:A1048576">
    <cfRule type="duplicateValues" dxfId="78" priority="197"/>
    <cfRule type="duplicateValues" dxfId="77" priority="198"/>
  </conditionalFormatting>
  <conditionalFormatting sqref="A1 A37:A1048576">
    <cfRule type="duplicateValues" dxfId="76" priority="188"/>
  </conditionalFormatting>
  <conditionalFormatting sqref="J2">
    <cfRule type="duplicateValues" dxfId="75" priority="175"/>
    <cfRule type="duplicateValues" dxfId="74" priority="176"/>
  </conditionalFormatting>
  <conditionalFormatting sqref="J2">
    <cfRule type="duplicateValues" dxfId="73" priority="174"/>
  </conditionalFormatting>
  <conditionalFormatting sqref="A2">
    <cfRule type="duplicateValues" dxfId="72" priority="172"/>
    <cfRule type="duplicateValues" dxfId="71" priority="173"/>
  </conditionalFormatting>
  <conditionalFormatting sqref="A2">
    <cfRule type="duplicateValues" dxfId="70" priority="171"/>
  </conditionalFormatting>
  <conditionalFormatting sqref="A37:A52">
    <cfRule type="duplicateValues" dxfId="69" priority="256"/>
    <cfRule type="duplicateValues" dxfId="68" priority="257"/>
  </conditionalFormatting>
  <conditionalFormatting sqref="A37:A52">
    <cfRule type="duplicateValues" dxfId="67" priority="258"/>
  </conditionalFormatting>
  <conditionalFormatting sqref="A35:A36">
    <cfRule type="duplicateValues" dxfId="66" priority="144"/>
    <cfRule type="duplicateValues" dxfId="65" priority="145"/>
  </conditionalFormatting>
  <conditionalFormatting sqref="A35:A36">
    <cfRule type="duplicateValues" dxfId="64" priority="135"/>
  </conditionalFormatting>
  <conditionalFormatting sqref="A13:A34">
    <cfRule type="duplicateValues" dxfId="63" priority="100"/>
    <cfRule type="duplicateValues" dxfId="62" priority="101"/>
  </conditionalFormatting>
  <conditionalFormatting sqref="A13:A34">
    <cfRule type="duplicateValues" dxfId="61" priority="91"/>
  </conditionalFormatting>
  <conditionalFormatting sqref="A8:A12">
    <cfRule type="duplicateValues" dxfId="60" priority="78"/>
    <cfRule type="duplicateValues" dxfId="59" priority="79"/>
  </conditionalFormatting>
  <conditionalFormatting sqref="A8:A12">
    <cfRule type="duplicateValues" dxfId="58" priority="69"/>
  </conditionalFormatting>
  <conditionalFormatting sqref="J3:J7">
    <cfRule type="duplicateValues" dxfId="57" priority="55"/>
    <cfRule type="duplicateValues" dxfId="56" priority="56"/>
    <cfRule type="duplicateValues" dxfId="55" priority="57"/>
    <cfRule type="duplicateValues" dxfId="54" priority="58"/>
  </conditionalFormatting>
  <conditionalFormatting sqref="J3:J7">
    <cfRule type="duplicateValues" dxfId="53" priority="54"/>
  </conditionalFormatting>
  <conditionalFormatting sqref="J4">
    <cfRule type="duplicateValues" dxfId="52" priority="30"/>
    <cfRule type="duplicateValues" dxfId="51" priority="31"/>
    <cfRule type="duplicateValues" dxfId="50" priority="32"/>
    <cfRule type="duplicateValues" dxfId="49" priority="33"/>
  </conditionalFormatting>
  <conditionalFormatting sqref="J4">
    <cfRule type="duplicateValues" dxfId="48" priority="29"/>
  </conditionalFormatting>
  <conditionalFormatting sqref="J5">
    <cfRule type="duplicateValues" dxfId="47" priority="25"/>
    <cfRule type="duplicateValues" dxfId="46" priority="26"/>
    <cfRule type="duplicateValues" dxfId="45" priority="27"/>
    <cfRule type="duplicateValues" dxfId="44" priority="28"/>
  </conditionalFormatting>
  <conditionalFormatting sqref="J5">
    <cfRule type="duplicateValues" dxfId="43" priority="24"/>
  </conditionalFormatting>
  <conditionalFormatting sqref="J6">
    <cfRule type="duplicateValues" dxfId="42" priority="20"/>
    <cfRule type="duplicateValues" dxfId="41" priority="21"/>
    <cfRule type="duplicateValues" dxfId="40" priority="22"/>
    <cfRule type="duplicateValues" dxfId="39" priority="23"/>
  </conditionalFormatting>
  <conditionalFormatting sqref="J6">
    <cfRule type="duplicateValues" dxfId="38" priority="19"/>
  </conditionalFormatting>
  <conditionalFormatting sqref="J7">
    <cfRule type="duplicateValues" dxfId="37" priority="15"/>
    <cfRule type="duplicateValues" dxfId="36" priority="16"/>
    <cfRule type="duplicateValues" dxfId="35" priority="17"/>
    <cfRule type="duplicateValues" dxfId="34" priority="18"/>
  </conditionalFormatting>
  <conditionalFormatting sqref="J7">
    <cfRule type="duplicateValues" dxfId="33" priority="14"/>
  </conditionalFormatting>
  <conditionalFormatting sqref="J1:J1048576">
    <cfRule type="duplicateValues" dxfId="32" priority="13"/>
  </conditionalFormatting>
  <conditionalFormatting sqref="A4:A7">
    <cfRule type="duplicateValues" dxfId="31" priority="9"/>
    <cfRule type="duplicateValues" dxfId="30" priority="10"/>
    <cfRule type="duplicateValues" dxfId="29" priority="11"/>
    <cfRule type="duplicateValues" dxfId="28" priority="12"/>
  </conditionalFormatting>
  <conditionalFormatting sqref="A4:A7">
    <cfRule type="duplicateValues" dxfId="27" priority="8"/>
  </conditionalFormatting>
  <conditionalFormatting sqref="A4:A7">
    <cfRule type="duplicateValues" dxfId="26" priority="7"/>
  </conditionalFormatting>
  <conditionalFormatting sqref="A3">
    <cfRule type="duplicateValues" dxfId="5" priority="3"/>
    <cfRule type="duplicateValues" dxfId="4" priority="4"/>
    <cfRule type="duplicateValues" dxfId="3" priority="5"/>
    <cfRule type="duplicateValues" dxfId="2" priority="6"/>
  </conditionalFormatting>
  <conditionalFormatting sqref="A3">
    <cfRule type="duplicateValues" dxfId="1" priority="2"/>
  </conditionalFormatting>
  <conditionalFormatting sqref="A3">
    <cfRule type="duplicateValues" dxfId="0" priority="1"/>
  </conditionalFormatting>
  <hyperlinks>
    <hyperlink ref="BL3" r:id="rId1" xr:uid="{DF391FAA-8063-4375-B798-82A3DD8C8ADB}"/>
    <hyperlink ref="BM3" r:id="rId2" xr:uid="{A3A6B027-9568-423D-8A12-ABACE6D4AE2E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FF0000"/>
  </sheetPr>
  <dimension ref="A1:O180"/>
  <sheetViews>
    <sheetView showGridLines="0" view="pageBreakPreview" zoomScale="85" zoomScaleNormal="100" zoomScaleSheetLayoutView="85" workbookViewId="0">
      <selection activeCell="B6" sqref="B6"/>
    </sheetView>
  </sheetViews>
  <sheetFormatPr baseColWidth="10" defaultColWidth="11.42578125" defaultRowHeight="15" x14ac:dyDescent="0.25"/>
  <cols>
    <col min="1" max="1" width="14.7109375" customWidth="1"/>
    <col min="2" max="2" width="17.42578125" customWidth="1"/>
    <col min="3" max="3" width="7.28515625" customWidth="1"/>
    <col min="4" max="4" width="16.28515625" customWidth="1"/>
    <col min="8" max="8" width="10.28515625" customWidth="1"/>
    <col min="9" max="9" width="12.5703125" customWidth="1"/>
    <col min="10" max="10" width="9" customWidth="1"/>
    <col min="11" max="12" width="3.85546875" customWidth="1"/>
  </cols>
  <sheetData>
    <row r="1" spans="1:15" ht="31.5" x14ac:dyDescent="0.5">
      <c r="H1" s="179"/>
      <c r="I1" s="179"/>
      <c r="J1" s="179"/>
      <c r="K1" s="2"/>
      <c r="L1" s="2"/>
      <c r="M1" s="2"/>
      <c r="N1" s="2"/>
      <c r="O1" s="2"/>
    </row>
    <row r="2" spans="1:15" ht="19.5" x14ac:dyDescent="0.3">
      <c r="A2" s="2"/>
      <c r="B2" s="178" t="s">
        <v>0</v>
      </c>
      <c r="C2" s="178"/>
      <c r="D2" s="178"/>
      <c r="E2" s="178"/>
      <c r="F2" s="178"/>
      <c r="G2" s="3"/>
      <c r="H2" s="2"/>
      <c r="I2" s="2"/>
      <c r="J2" s="2"/>
    </row>
    <row r="3" spans="1:15" ht="15" customHeight="1" x14ac:dyDescent="0.3">
      <c r="A3" s="4" t="s">
        <v>1</v>
      </c>
      <c r="B3" s="57" t="e">
        <f>VLOOKUP($B$6,DTH!$A:$CI,5,0)</f>
        <v>#N/A</v>
      </c>
      <c r="C3" s="5"/>
      <c r="D3" s="5"/>
      <c r="E3" s="5"/>
      <c r="F3" s="5"/>
      <c r="G3" s="6" t="s">
        <v>2</v>
      </c>
      <c r="H3" s="180" t="e">
        <f>VLOOKUP($B$6,DTH!$A:$CI,2,0)</f>
        <v>#N/A</v>
      </c>
      <c r="I3" s="180"/>
      <c r="J3" s="2"/>
    </row>
    <row r="4" spans="1:15" x14ac:dyDescent="0.25">
      <c r="A4" s="4" t="s">
        <v>3</v>
      </c>
      <c r="B4" s="57" t="s">
        <v>71</v>
      </c>
      <c r="C4" s="5"/>
      <c r="D4" s="8"/>
      <c r="E4" s="5"/>
      <c r="F4" s="5"/>
      <c r="G4" s="9"/>
    </row>
    <row r="5" spans="1:15" x14ac:dyDescent="0.25">
      <c r="A5" s="4" t="s">
        <v>4</v>
      </c>
      <c r="B5" s="57" t="e">
        <f>VLOOKUP($B$6,DTH!$A:$CI,6,0)</f>
        <v>#N/A</v>
      </c>
      <c r="C5" s="176" t="e">
        <f>IF(B5="GT metro",5,IF(B5="GT oriente",5,IF(B5="n/a",5)))</f>
        <v>#N/A</v>
      </c>
      <c r="D5" s="8"/>
      <c r="E5" s="5"/>
      <c r="F5" s="5"/>
      <c r="G5" s="9"/>
    </row>
    <row r="6" spans="1:15" x14ac:dyDescent="0.25">
      <c r="A6" s="4" t="s">
        <v>97</v>
      </c>
      <c r="B6" s="158"/>
      <c r="C6" s="5"/>
      <c r="D6" s="8"/>
      <c r="E6" s="5"/>
      <c r="F6" s="5"/>
      <c r="G6" s="9"/>
    </row>
    <row r="7" spans="1:15" x14ac:dyDescent="0.25">
      <c r="A7" s="4" t="s">
        <v>6</v>
      </c>
      <c r="B7" s="57" t="e">
        <f>VLOOKUP($B$6,DTH!$A:$CI,7,0)</f>
        <v>#N/A</v>
      </c>
      <c r="C7" s="5"/>
      <c r="D7" s="8"/>
      <c r="E7" s="5"/>
      <c r="F7" s="5"/>
      <c r="G7" s="9"/>
    </row>
    <row r="8" spans="1:15" x14ac:dyDescent="0.25">
      <c r="A8" s="9"/>
      <c r="B8" s="9"/>
      <c r="C8" s="10"/>
      <c r="D8" s="10"/>
      <c r="E8" s="10"/>
      <c r="F8" s="10"/>
      <c r="G8" s="9"/>
      <c r="H8" s="9"/>
      <c r="I8" s="9"/>
      <c r="J8" s="9"/>
    </row>
    <row r="9" spans="1:15" ht="25.5" x14ac:dyDescent="0.25">
      <c r="A9" s="181" t="s">
        <v>7</v>
      </c>
      <c r="B9" s="182"/>
      <c r="C9" s="183" t="e">
        <f>VLOOKUP($B$6,DTH!$A:$CI,8,0)</f>
        <v>#N/A</v>
      </c>
      <c r="D9" s="183"/>
      <c r="E9" s="183" t="e">
        <f>VLOOKUP($B$6,DTH!$A:$CI,2,0)</f>
        <v>#N/A</v>
      </c>
      <c r="F9" s="183"/>
      <c r="G9" s="94" t="s">
        <v>8</v>
      </c>
      <c r="H9" s="183"/>
      <c r="I9" s="183"/>
    </row>
    <row r="10" spans="1:15" ht="25.5" x14ac:dyDescent="0.25">
      <c r="A10" s="184" t="s">
        <v>9</v>
      </c>
      <c r="B10" s="185"/>
      <c r="C10" s="183" t="e">
        <f>VLOOKUP($B$6,DTH!$A:$CI,9,0)</f>
        <v>#N/A</v>
      </c>
      <c r="D10" s="183"/>
      <c r="E10" s="183" t="e">
        <f>VLOOKUP($B$6,DTH!$A:$CI,2,0)</f>
        <v>#N/A</v>
      </c>
      <c r="F10" s="183"/>
      <c r="G10" s="94" t="s">
        <v>8</v>
      </c>
      <c r="H10" s="183"/>
      <c r="I10" s="183"/>
    </row>
    <row r="11" spans="1:15" ht="12" customHeight="1" x14ac:dyDescent="0.25">
      <c r="A11" s="12"/>
      <c r="B11" s="13"/>
      <c r="C11" s="186"/>
      <c r="D11" s="186"/>
      <c r="E11" s="186"/>
      <c r="F11" s="186"/>
      <c r="G11" s="14"/>
      <c r="H11" s="186"/>
      <c r="I11" s="186"/>
    </row>
    <row r="12" spans="1:15" ht="12" customHeight="1" x14ac:dyDescent="0.25"/>
    <row r="13" spans="1:15" ht="12" customHeight="1" thickBot="1" x14ac:dyDescent="0.3"/>
    <row r="14" spans="1:15" s="19" customFormat="1" ht="15.75" thickBot="1" x14ac:dyDescent="0.3">
      <c r="A14" s="15" t="s">
        <v>10</v>
      </c>
      <c r="B14" s="16" t="s">
        <v>11</v>
      </c>
      <c r="C14" s="187" t="s">
        <v>12</v>
      </c>
      <c r="D14" s="188"/>
      <c r="E14" s="188"/>
      <c r="F14" s="188"/>
      <c r="G14" s="188"/>
      <c r="H14" s="17" t="s">
        <v>13</v>
      </c>
      <c r="I14" s="18" t="s">
        <v>14</v>
      </c>
      <c r="J14" s="18" t="s">
        <v>124</v>
      </c>
      <c r="K14"/>
      <c r="L14"/>
      <c r="M14"/>
    </row>
    <row r="15" spans="1:15" x14ac:dyDescent="0.25">
      <c r="A15" s="189" t="s">
        <v>15</v>
      </c>
      <c r="B15" s="192">
        <v>35</v>
      </c>
      <c r="C15" s="195" t="s">
        <v>16</v>
      </c>
      <c r="D15" s="196"/>
      <c r="E15" s="196"/>
      <c r="F15" s="196"/>
      <c r="G15" s="197"/>
      <c r="H15" s="169">
        <v>5</v>
      </c>
      <c r="I15" s="95" t="e">
        <f>VLOOKUP($B$6,DTH!$A:$CI,11,0)</f>
        <v>#N/A</v>
      </c>
      <c r="J15" s="68" t="e">
        <f>IF(I15="si",5,IF(I15="no",0,IF(I15="n/a",5)))</f>
        <v>#N/A</v>
      </c>
    </row>
    <row r="16" spans="1:15" x14ac:dyDescent="0.25">
      <c r="A16" s="190"/>
      <c r="B16" s="193"/>
      <c r="C16" s="198" t="s">
        <v>17</v>
      </c>
      <c r="D16" s="199"/>
      <c r="E16" s="199"/>
      <c r="F16" s="199"/>
      <c r="G16" s="200"/>
      <c r="H16" s="170">
        <v>5</v>
      </c>
      <c r="I16" s="96" t="e">
        <f>VLOOKUP($B$6,DTH!$A:$CI,12,0)</f>
        <v>#N/A</v>
      </c>
      <c r="J16" s="70" t="e">
        <f t="shared" ref="J16:J21" si="0">IF(I16="si",5,IF(I16="no",0,IF(I16="n/a",5)))</f>
        <v>#N/A</v>
      </c>
    </row>
    <row r="17" spans="1:10" x14ac:dyDescent="0.25">
      <c r="A17" s="190"/>
      <c r="B17" s="193"/>
      <c r="C17" s="198" t="s">
        <v>18</v>
      </c>
      <c r="D17" s="199"/>
      <c r="E17" s="199"/>
      <c r="F17" s="199"/>
      <c r="G17" s="200"/>
      <c r="H17" s="170">
        <v>5</v>
      </c>
      <c r="I17" s="96" t="e">
        <f>VLOOKUP($B$6,DTH!$A:$CI,13,0)</f>
        <v>#N/A</v>
      </c>
      <c r="J17" s="70" t="e">
        <f t="shared" si="0"/>
        <v>#N/A</v>
      </c>
    </row>
    <row r="18" spans="1:10" x14ac:dyDescent="0.25">
      <c r="A18" s="190"/>
      <c r="B18" s="193"/>
      <c r="C18" s="198" t="s">
        <v>19</v>
      </c>
      <c r="D18" s="199"/>
      <c r="E18" s="199"/>
      <c r="F18" s="199"/>
      <c r="G18" s="200"/>
      <c r="H18" s="170">
        <v>5</v>
      </c>
      <c r="I18" s="96" t="e">
        <f>VLOOKUP($B$6,DTH!$A:$CI,14,0)</f>
        <v>#N/A</v>
      </c>
      <c r="J18" s="70" t="e">
        <f t="shared" si="0"/>
        <v>#N/A</v>
      </c>
    </row>
    <row r="19" spans="1:10" x14ac:dyDescent="0.25">
      <c r="A19" s="190"/>
      <c r="B19" s="193"/>
      <c r="C19" s="198" t="s">
        <v>20</v>
      </c>
      <c r="D19" s="199"/>
      <c r="E19" s="199"/>
      <c r="F19" s="199"/>
      <c r="G19" s="200"/>
      <c r="H19" s="170">
        <v>5</v>
      </c>
      <c r="I19" s="96" t="e">
        <f>VLOOKUP($B$6,DTH!$A:$CI,15,0)</f>
        <v>#N/A</v>
      </c>
      <c r="J19" s="70" t="e">
        <f t="shared" si="0"/>
        <v>#N/A</v>
      </c>
    </row>
    <row r="20" spans="1:10" x14ac:dyDescent="0.25">
      <c r="A20" s="190"/>
      <c r="B20" s="193"/>
      <c r="C20" s="198" t="s">
        <v>21</v>
      </c>
      <c r="D20" s="199"/>
      <c r="E20" s="199"/>
      <c r="F20" s="199"/>
      <c r="G20" s="200"/>
      <c r="H20" s="170">
        <v>5</v>
      </c>
      <c r="I20" s="96" t="e">
        <f>VLOOKUP($B$6,DTH!$A:$CI,16,0)</f>
        <v>#N/A</v>
      </c>
      <c r="J20" s="70" t="e">
        <f t="shared" si="0"/>
        <v>#N/A</v>
      </c>
    </row>
    <row r="21" spans="1:10" ht="15.75" thickBot="1" x14ac:dyDescent="0.3">
      <c r="A21" s="191"/>
      <c r="B21" s="194"/>
      <c r="C21" s="203" t="s">
        <v>22</v>
      </c>
      <c r="D21" s="204"/>
      <c r="E21" s="204"/>
      <c r="F21" s="204"/>
      <c r="G21" s="205"/>
      <c r="H21" s="171">
        <v>5</v>
      </c>
      <c r="I21" s="97" t="e">
        <f>VLOOKUP($B$6,DTH!$A:$CI,17,0)</f>
        <v>#N/A</v>
      </c>
      <c r="J21" s="71" t="e">
        <f t="shared" si="0"/>
        <v>#N/A</v>
      </c>
    </row>
    <row r="22" spans="1:10" ht="15.75" thickBot="1" x14ac:dyDescent="0.3">
      <c r="A22" s="165"/>
      <c r="B22" s="166"/>
      <c r="C22" s="21"/>
      <c r="D22" s="21"/>
      <c r="E22" s="21"/>
      <c r="F22" s="21"/>
      <c r="G22" s="21"/>
      <c r="H22" s="167"/>
      <c r="I22" s="160"/>
      <c r="J22" s="168"/>
    </row>
    <row r="23" spans="1:10" x14ac:dyDescent="0.25">
      <c r="A23" s="189" t="s">
        <v>23</v>
      </c>
      <c r="B23" s="192">
        <v>30</v>
      </c>
      <c r="C23" s="195" t="s">
        <v>24</v>
      </c>
      <c r="D23" s="196"/>
      <c r="E23" s="196"/>
      <c r="F23" s="196"/>
      <c r="G23" s="197"/>
      <c r="H23" s="172">
        <v>5</v>
      </c>
      <c r="I23" s="98" t="e">
        <f>VLOOKUP($B$6,DTH!$A:$CI,18,0)</f>
        <v>#N/A</v>
      </c>
      <c r="J23" s="68" t="e">
        <f>IF(I23="si",5,IF(I23="no",0,IF(I23="n/a",5)))</f>
        <v>#N/A</v>
      </c>
    </row>
    <row r="24" spans="1:10" x14ac:dyDescent="0.25">
      <c r="A24" s="190"/>
      <c r="B24" s="193"/>
      <c r="C24" s="198" t="s">
        <v>25</v>
      </c>
      <c r="D24" s="199"/>
      <c r="E24" s="199"/>
      <c r="F24" s="199"/>
      <c r="G24" s="200"/>
      <c r="H24" s="173">
        <v>5</v>
      </c>
      <c r="I24" s="99" t="e">
        <f>VLOOKUP($B$6,DTH!$A:$CI,19,0)</f>
        <v>#N/A</v>
      </c>
      <c r="J24" s="70" t="e">
        <f>IF(I24="si",5,IF(I24="no",0,IF(I24="n/a",5)))</f>
        <v>#N/A</v>
      </c>
    </row>
    <row r="25" spans="1:10" x14ac:dyDescent="0.25">
      <c r="A25" s="190"/>
      <c r="B25" s="193"/>
      <c r="C25" s="198" t="s">
        <v>26</v>
      </c>
      <c r="D25" s="199"/>
      <c r="E25" s="199"/>
      <c r="F25" s="199"/>
      <c r="G25" s="200"/>
      <c r="H25" s="173">
        <v>5</v>
      </c>
      <c r="I25" s="99" t="e">
        <f>VLOOKUP($B$6,DTH!$A:$CI,20,0)</f>
        <v>#N/A</v>
      </c>
      <c r="J25" s="70" t="e">
        <f>IF(I25="si",5,IF(I25="no",0,IF(I25="n/a",5)))</f>
        <v>#N/A</v>
      </c>
    </row>
    <row r="26" spans="1:10" x14ac:dyDescent="0.25">
      <c r="A26" s="190"/>
      <c r="B26" s="193"/>
      <c r="C26" s="198" t="s">
        <v>27</v>
      </c>
      <c r="D26" s="199"/>
      <c r="E26" s="199"/>
      <c r="F26" s="199"/>
      <c r="G26" s="200"/>
      <c r="H26" s="173">
        <v>5</v>
      </c>
      <c r="I26" s="99" t="e">
        <f>VLOOKUP($B$6,DTH!$A:$CI,21,0)</f>
        <v>#N/A</v>
      </c>
      <c r="J26" s="70" t="e">
        <f>IF(I26="si",5,IF(I26="no",0,IF(I26="n/a",5)))</f>
        <v>#N/A</v>
      </c>
    </row>
    <row r="27" spans="1:10" x14ac:dyDescent="0.25">
      <c r="A27" s="190"/>
      <c r="B27" s="193"/>
      <c r="C27" s="198" t="s">
        <v>28</v>
      </c>
      <c r="D27" s="199"/>
      <c r="E27" s="199"/>
      <c r="F27" s="199"/>
      <c r="G27" s="200"/>
      <c r="H27" s="173">
        <v>5</v>
      </c>
      <c r="I27" s="99" t="e">
        <f>VLOOKUP($B$6,DTH!$A:$CI,22,0)</f>
        <v>#N/A</v>
      </c>
      <c r="J27" s="70" t="e">
        <f>IF(I27="si",5,IF(I27="no",0,IF(I27="n/a",5)))</f>
        <v>#N/A</v>
      </c>
    </row>
    <row r="28" spans="1:10" ht="15.75" thickBot="1" x14ac:dyDescent="0.3">
      <c r="A28" s="191"/>
      <c r="B28" s="194"/>
      <c r="C28" s="203" t="s">
        <v>29</v>
      </c>
      <c r="D28" s="204"/>
      <c r="E28" s="204"/>
      <c r="F28" s="204"/>
      <c r="G28" s="205"/>
      <c r="H28" s="174">
        <v>5</v>
      </c>
      <c r="I28" s="100" t="e">
        <f>VLOOKUP($B$6,DTH!$A:$CI,23,0)</f>
        <v>#N/A</v>
      </c>
      <c r="J28" s="71" t="e">
        <f t="shared" ref="J28" si="1">IF(I28="si",5,IF(I28="no",0,IF(I28="n/a",5)))</f>
        <v>#N/A</v>
      </c>
    </row>
    <row r="29" spans="1:10" ht="15.75" thickBot="1" x14ac:dyDescent="0.3"/>
    <row r="30" spans="1:10" ht="15.75" thickBot="1" x14ac:dyDescent="0.3">
      <c r="A30" s="201" t="s">
        <v>31</v>
      </c>
      <c r="B30" s="202"/>
      <c r="C30" s="202"/>
      <c r="D30" s="202"/>
      <c r="E30" s="202"/>
      <c r="F30" s="202"/>
      <c r="G30" s="202"/>
      <c r="H30" s="202"/>
      <c r="I30" s="20" t="e">
        <f>VLOOKUP($B$6,DTH!$A:$CI,24,0)</f>
        <v>#N/A</v>
      </c>
      <c r="J30" s="20"/>
    </row>
    <row r="31" spans="1:10" ht="15.75" thickBot="1" x14ac:dyDescent="0.3">
      <c r="A31" s="15" t="s">
        <v>10</v>
      </c>
      <c r="B31" s="16" t="s">
        <v>11</v>
      </c>
      <c r="C31" s="187" t="s">
        <v>12</v>
      </c>
      <c r="D31" s="188"/>
      <c r="E31" s="188"/>
      <c r="F31" s="188"/>
      <c r="G31" s="188"/>
      <c r="H31" s="17" t="s">
        <v>13</v>
      </c>
      <c r="I31" s="18" t="s">
        <v>14</v>
      </c>
      <c r="J31" s="18" t="s">
        <v>124</v>
      </c>
    </row>
    <row r="32" spans="1:10" x14ac:dyDescent="0.25">
      <c r="A32" s="189" t="s">
        <v>32</v>
      </c>
      <c r="B32" s="192">
        <v>30</v>
      </c>
      <c r="C32" s="195" t="s">
        <v>33</v>
      </c>
      <c r="D32" s="196"/>
      <c r="E32" s="196"/>
      <c r="F32" s="196"/>
      <c r="G32" s="197"/>
      <c r="H32" s="175">
        <v>5</v>
      </c>
      <c r="I32" s="79" t="e">
        <f>VLOOKUP($B$6,DTH!$A:$CI,25,0)</f>
        <v>#N/A</v>
      </c>
      <c r="J32" s="68" t="e">
        <f>IF(I32="si",5,IF(I32="no",0,IF(I32="n/a",5)))</f>
        <v>#N/A</v>
      </c>
    </row>
    <row r="33" spans="1:10" x14ac:dyDescent="0.25">
      <c r="A33" s="190"/>
      <c r="B33" s="193"/>
      <c r="C33" s="198" t="s">
        <v>34</v>
      </c>
      <c r="D33" s="199"/>
      <c r="E33" s="199"/>
      <c r="F33" s="199"/>
      <c r="G33" s="200"/>
      <c r="H33" s="170">
        <v>5</v>
      </c>
      <c r="I33" s="80" t="e">
        <f>VLOOKUP($B$6,DTH!$A:$CI,26,0)</f>
        <v>#N/A</v>
      </c>
      <c r="J33" s="70" t="e">
        <f t="shared" ref="J33:J37" si="2">IF(I33="si",5,IF(I33="no",0,IF(I33="n/a",5)))</f>
        <v>#N/A</v>
      </c>
    </row>
    <row r="34" spans="1:10" x14ac:dyDescent="0.25">
      <c r="A34" s="190"/>
      <c r="B34" s="193"/>
      <c r="C34" s="198" t="s">
        <v>35</v>
      </c>
      <c r="D34" s="199"/>
      <c r="E34" s="199"/>
      <c r="F34" s="199"/>
      <c r="G34" s="200"/>
      <c r="H34" s="170">
        <v>5</v>
      </c>
      <c r="I34" s="80" t="e">
        <f>VLOOKUP($B$6,DTH!$A:$CI,27,0)</f>
        <v>#N/A</v>
      </c>
      <c r="J34" s="70" t="e">
        <f t="shared" si="2"/>
        <v>#N/A</v>
      </c>
    </row>
    <row r="35" spans="1:10" x14ac:dyDescent="0.25">
      <c r="A35" s="190"/>
      <c r="B35" s="193"/>
      <c r="C35" s="198" t="s">
        <v>36</v>
      </c>
      <c r="D35" s="199"/>
      <c r="E35" s="199"/>
      <c r="F35" s="199"/>
      <c r="G35" s="200"/>
      <c r="H35" s="170">
        <v>5</v>
      </c>
      <c r="I35" s="80" t="e">
        <f>VLOOKUP($B$6,DTH!$A:$CI,28,0)</f>
        <v>#N/A</v>
      </c>
      <c r="J35" s="70" t="e">
        <f t="shared" si="2"/>
        <v>#N/A</v>
      </c>
    </row>
    <row r="36" spans="1:10" x14ac:dyDescent="0.25">
      <c r="A36" s="190"/>
      <c r="B36" s="193"/>
      <c r="C36" s="198" t="s">
        <v>37</v>
      </c>
      <c r="D36" s="199"/>
      <c r="E36" s="199"/>
      <c r="F36" s="199"/>
      <c r="G36" s="200"/>
      <c r="H36" s="170">
        <v>5</v>
      </c>
      <c r="I36" s="80" t="e">
        <f>VLOOKUP($B$6,DTH!$A:$CI,29,0)</f>
        <v>#N/A</v>
      </c>
      <c r="J36" s="70" t="e">
        <f t="shared" si="2"/>
        <v>#N/A</v>
      </c>
    </row>
    <row r="37" spans="1:10" ht="15.75" thickBot="1" x14ac:dyDescent="0.3">
      <c r="A37" s="191"/>
      <c r="B37" s="194"/>
      <c r="C37" s="203" t="s">
        <v>38</v>
      </c>
      <c r="D37" s="204"/>
      <c r="E37" s="204"/>
      <c r="F37" s="204"/>
      <c r="G37" s="205"/>
      <c r="H37" s="171">
        <v>5</v>
      </c>
      <c r="I37" s="81" t="e">
        <f>VLOOKUP($B$6,DTH!$A:$CI,30,0)</f>
        <v>#N/A</v>
      </c>
      <c r="J37" s="71" t="e">
        <f t="shared" si="2"/>
        <v>#N/A</v>
      </c>
    </row>
    <row r="38" spans="1:10" s="24" customFormat="1" ht="15.75" customHeight="1" thickBot="1" x14ac:dyDescent="0.25">
      <c r="A38" s="11"/>
      <c r="B38" s="25"/>
      <c r="C38" s="22"/>
      <c r="D38" s="22"/>
      <c r="E38" s="23"/>
      <c r="F38" s="23"/>
      <c r="G38" s="23"/>
    </row>
    <row r="39" spans="1:10" s="24" customFormat="1" ht="15.75" customHeight="1" x14ac:dyDescent="0.2">
      <c r="A39" s="135" t="s">
        <v>30</v>
      </c>
      <c r="B39" s="206" t="e">
        <f>VLOOKUP($B$6,DTH!$A:$CI,75,0)</f>
        <v>#N/A</v>
      </c>
      <c r="C39" s="206" t="e">
        <f>VLOOKUP($B$6,DTH!$A:$CI,30,0)</f>
        <v>#N/A</v>
      </c>
      <c r="D39" s="206" t="e">
        <f>VLOOKUP($B$6,DTH!$A:$CI,30,0)</f>
        <v>#N/A</v>
      </c>
      <c r="E39" s="206" t="e">
        <f>VLOOKUP($B$6,DTH!$A:$CI,30,0)</f>
        <v>#N/A</v>
      </c>
      <c r="F39" s="206" t="e">
        <f>VLOOKUP($B$6,DTH!$A:$CI,30,0)</f>
        <v>#N/A</v>
      </c>
      <c r="G39" s="206" t="e">
        <f>VLOOKUP($B$6,DTH!$A:$CI,30,0)</f>
        <v>#N/A</v>
      </c>
      <c r="H39" s="206" t="e">
        <f>VLOOKUP($B$6,DTH!$A:$CI,30,0)</f>
        <v>#N/A</v>
      </c>
      <c r="I39" s="136"/>
    </row>
    <row r="40" spans="1:10" s="24" customFormat="1" ht="15.75" customHeight="1" thickBot="1" x14ac:dyDescent="0.25">
      <c r="A40" s="137"/>
      <c r="B40" s="207" t="e">
        <f>VLOOKUP($B$6,DTH!$A:$CI,30,0)</f>
        <v>#N/A</v>
      </c>
      <c r="C40" s="207" t="e">
        <f>VLOOKUP($B$6,DTH!$A:$CI,30,0)</f>
        <v>#N/A</v>
      </c>
      <c r="D40" s="207" t="e">
        <f>VLOOKUP($B$6,DTH!$A:$CI,30,0)</f>
        <v>#N/A</v>
      </c>
      <c r="E40" s="207" t="e">
        <f>VLOOKUP($B$6,DTH!$A:$CI,30,0)</f>
        <v>#N/A</v>
      </c>
      <c r="F40" s="207" t="e">
        <f>VLOOKUP($B$6,DTH!$A:$CI,30,0)</f>
        <v>#N/A</v>
      </c>
      <c r="G40" s="207" t="e">
        <f>VLOOKUP($B$6,DTH!$A:$CI,30,0)</f>
        <v>#N/A</v>
      </c>
      <c r="H40" s="207" t="e">
        <f>VLOOKUP($B$6,DTH!$A:$CI,30,0)</f>
        <v>#N/A</v>
      </c>
      <c r="I40" s="138"/>
    </row>
    <row r="41" spans="1:10" s="24" customFormat="1" ht="15.75" customHeight="1" thickBot="1" x14ac:dyDescent="0.3">
      <c r="A41" s="139"/>
      <c r="B41" s="208" t="e">
        <f>VLOOKUP($B$6,DTH!$A:$CI,30,0)</f>
        <v>#N/A</v>
      </c>
      <c r="C41" s="208" t="e">
        <f>VLOOKUP($B$6,DTH!$A:$CI,30,0)</f>
        <v>#N/A</v>
      </c>
      <c r="D41" s="208" t="e">
        <f>VLOOKUP($B$6,DTH!$A:$CI,30,0)</f>
        <v>#N/A</v>
      </c>
      <c r="E41" s="208" t="e">
        <f>VLOOKUP($B$6,DTH!$A:$CI,30,0)</f>
        <v>#N/A</v>
      </c>
      <c r="F41" s="208" t="e">
        <f>VLOOKUP($B$6,DTH!$A:$CI,30,0)</f>
        <v>#N/A</v>
      </c>
      <c r="G41" s="208" t="e">
        <f>VLOOKUP($B$6,DTH!$A:$CI,30,0)</f>
        <v>#N/A</v>
      </c>
      <c r="H41" s="208" t="e">
        <f>VLOOKUP($B$6,DTH!$A:$CI,30,0)</f>
        <v>#N/A</v>
      </c>
      <c r="I41" s="140"/>
      <c r="J41" s="78" t="e">
        <f>IF(I30="NO",SUM(J14:J28)+30,SUM(J14:J28,J32:J37))+C5</f>
        <v>#N/A</v>
      </c>
    </row>
    <row r="42" spans="1:10" s="24" customFormat="1" ht="12.75" x14ac:dyDescent="0.2"/>
    <row r="44" spans="1:10" x14ac:dyDescent="0.25">
      <c r="A44" s="151"/>
      <c r="B44" s="26"/>
      <c r="C44" s="27"/>
      <c r="D44" s="24"/>
      <c r="G44" s="27"/>
      <c r="H44" s="24"/>
    </row>
    <row r="45" spans="1:10" x14ac:dyDescent="0.25">
      <c r="A45" s="152" t="s">
        <v>160</v>
      </c>
      <c r="B45" s="26"/>
      <c r="C45" s="27" t="s">
        <v>151</v>
      </c>
      <c r="D45" s="27"/>
      <c r="E45" s="24"/>
      <c r="F45" s="27" t="s">
        <v>152</v>
      </c>
      <c r="H45" s="89"/>
      <c r="I45" s="27" t="s">
        <v>158</v>
      </c>
    </row>
    <row r="46" spans="1:10" x14ac:dyDescent="0.25">
      <c r="A46" s="28"/>
      <c r="B46" s="26"/>
      <c r="C46" s="29"/>
      <c r="D46" s="29"/>
      <c r="E46" s="24"/>
      <c r="H46" s="89"/>
      <c r="I46" s="89"/>
      <c r="J46" s="89"/>
    </row>
    <row r="47" spans="1:10" x14ac:dyDescent="0.25">
      <c r="A47" s="149" t="s">
        <v>154</v>
      </c>
      <c r="B47" s="153"/>
      <c r="C47" s="149" t="s">
        <v>155</v>
      </c>
      <c r="D47" s="29"/>
      <c r="E47" s="24"/>
      <c r="F47" s="149" t="s">
        <v>156</v>
      </c>
      <c r="H47" s="89"/>
      <c r="I47" s="149" t="s">
        <v>159</v>
      </c>
    </row>
    <row r="52" spans="2:9" x14ac:dyDescent="0.25">
      <c r="D52" s="74"/>
    </row>
    <row r="53" spans="2:9" ht="31.5" x14ac:dyDescent="0.5">
      <c r="D53" s="74"/>
      <c r="H53" s="133"/>
      <c r="I53" s="133"/>
    </row>
    <row r="54" spans="2:9" x14ac:dyDescent="0.25">
      <c r="D54" s="74"/>
    </row>
    <row r="55" spans="2:9" x14ac:dyDescent="0.25">
      <c r="D55" s="74"/>
    </row>
    <row r="56" spans="2:9" x14ac:dyDescent="0.25">
      <c r="B56" t="e">
        <f>VLOOKUP($B$6,DTH!$A:$CI,64,0)</f>
        <v>#N/A</v>
      </c>
      <c r="C56" s="89"/>
      <c r="H56" s="159" t="e">
        <f>HYPERLINK(B56,"Abrir Imagen")</f>
        <v>#N/A</v>
      </c>
    </row>
    <row r="57" spans="2:9" x14ac:dyDescent="0.25">
      <c r="H57" s="74"/>
    </row>
    <row r="58" spans="2:9" x14ac:dyDescent="0.25">
      <c r="D58" s="74"/>
    </row>
    <row r="59" spans="2:9" x14ac:dyDescent="0.25">
      <c r="D59" s="74"/>
    </row>
    <row r="60" spans="2:9" x14ac:dyDescent="0.25">
      <c r="D60" s="75"/>
    </row>
    <row r="61" spans="2:9" x14ac:dyDescent="0.25">
      <c r="D61" s="75"/>
    </row>
    <row r="62" spans="2:9" x14ac:dyDescent="0.25">
      <c r="D62" s="75"/>
    </row>
    <row r="63" spans="2:9" x14ac:dyDescent="0.25">
      <c r="D63" s="75"/>
    </row>
    <row r="64" spans="2:9" x14ac:dyDescent="0.25">
      <c r="D64" s="75"/>
    </row>
    <row r="65" spans="4:4" x14ac:dyDescent="0.25">
      <c r="D65" s="75"/>
    </row>
    <row r="66" spans="4:4" x14ac:dyDescent="0.25">
      <c r="D66" s="75"/>
    </row>
    <row r="67" spans="4:4" x14ac:dyDescent="0.25">
      <c r="D67" s="75"/>
    </row>
    <row r="68" spans="4:4" x14ac:dyDescent="0.25">
      <c r="D68" s="75"/>
    </row>
    <row r="69" spans="4:4" x14ac:dyDescent="0.25">
      <c r="D69" s="75"/>
    </row>
    <row r="70" spans="4:4" x14ac:dyDescent="0.25">
      <c r="D70" s="75"/>
    </row>
    <row r="71" spans="4:4" x14ac:dyDescent="0.25">
      <c r="D71" s="75"/>
    </row>
    <row r="72" spans="4:4" x14ac:dyDescent="0.25">
      <c r="D72" s="75"/>
    </row>
    <row r="73" spans="4:4" x14ac:dyDescent="0.25">
      <c r="D73" s="75"/>
    </row>
    <row r="74" spans="4:4" x14ac:dyDescent="0.25">
      <c r="D74" s="75"/>
    </row>
    <row r="75" spans="4:4" x14ac:dyDescent="0.25">
      <c r="D75" s="75"/>
    </row>
    <row r="76" spans="4:4" x14ac:dyDescent="0.25">
      <c r="D76" s="75"/>
    </row>
    <row r="77" spans="4:4" x14ac:dyDescent="0.25">
      <c r="D77" s="75"/>
    </row>
    <row r="78" spans="4:4" x14ac:dyDescent="0.25">
      <c r="D78" s="75"/>
    </row>
    <row r="79" spans="4:4" x14ac:dyDescent="0.25">
      <c r="D79" s="75"/>
    </row>
    <row r="80" spans="4:4" x14ac:dyDescent="0.25">
      <c r="D80" s="75"/>
    </row>
    <row r="81" spans="4:9" x14ac:dyDescent="0.25">
      <c r="D81" s="75"/>
    </row>
    <row r="82" spans="4:9" x14ac:dyDescent="0.25">
      <c r="D82" s="75"/>
    </row>
    <row r="83" spans="4:9" x14ac:dyDescent="0.25">
      <c r="D83" s="75"/>
    </row>
    <row r="84" spans="4:9" x14ac:dyDescent="0.25">
      <c r="D84" s="75"/>
    </row>
    <row r="85" spans="4:9" x14ac:dyDescent="0.25">
      <c r="D85" s="75"/>
    </row>
    <row r="86" spans="4:9" x14ac:dyDescent="0.25">
      <c r="D86" s="75"/>
    </row>
    <row r="87" spans="4:9" x14ac:dyDescent="0.25">
      <c r="D87" s="75"/>
    </row>
    <row r="88" spans="4:9" x14ac:dyDescent="0.25">
      <c r="D88" s="75"/>
    </row>
    <row r="89" spans="4:9" x14ac:dyDescent="0.25">
      <c r="D89" s="75"/>
    </row>
    <row r="90" spans="4:9" x14ac:dyDescent="0.25">
      <c r="D90" s="75"/>
    </row>
    <row r="91" spans="4:9" x14ac:dyDescent="0.25">
      <c r="D91" s="74"/>
    </row>
    <row r="92" spans="4:9" x14ac:dyDescent="0.25">
      <c r="D92" s="74"/>
    </row>
    <row r="93" spans="4:9" x14ac:dyDescent="0.25">
      <c r="D93" s="74"/>
    </row>
    <row r="94" spans="4:9" x14ac:dyDescent="0.25">
      <c r="D94" s="74"/>
    </row>
    <row r="95" spans="4:9" ht="31.5" x14ac:dyDescent="0.5">
      <c r="D95" s="74"/>
      <c r="H95" s="133"/>
      <c r="I95" s="133"/>
    </row>
    <row r="96" spans="4:9" x14ac:dyDescent="0.25">
      <c r="D96" s="74"/>
    </row>
    <row r="97" spans="2:8" x14ac:dyDescent="0.25">
      <c r="D97" s="74"/>
    </row>
    <row r="98" spans="2:8" x14ac:dyDescent="0.25">
      <c r="B98" t="e">
        <f>VLOOKUP($B$6,DTH!$A:$CI,65,0)</f>
        <v>#N/A</v>
      </c>
      <c r="C98" s="89"/>
      <c r="H98" s="159" t="e">
        <f>HYPERLINK(B98,"Abrir Imagen")</f>
        <v>#N/A</v>
      </c>
    </row>
    <row r="99" spans="2:8" x14ac:dyDescent="0.25">
      <c r="D99" s="74"/>
    </row>
    <row r="100" spans="2:8" x14ac:dyDescent="0.25">
      <c r="D100" s="74"/>
    </row>
    <row r="101" spans="2:8" x14ac:dyDescent="0.25">
      <c r="D101" s="75"/>
    </row>
    <row r="102" spans="2:8" x14ac:dyDescent="0.25">
      <c r="D102" s="75"/>
    </row>
    <row r="103" spans="2:8" x14ac:dyDescent="0.25">
      <c r="D103" s="75"/>
    </row>
    <row r="104" spans="2:8" x14ac:dyDescent="0.25">
      <c r="D104" s="75"/>
    </row>
    <row r="105" spans="2:8" x14ac:dyDescent="0.25">
      <c r="D105" s="75"/>
    </row>
    <row r="106" spans="2:8" x14ac:dyDescent="0.25">
      <c r="D106" s="75"/>
    </row>
    <row r="107" spans="2:8" x14ac:dyDescent="0.25">
      <c r="D107" s="75"/>
    </row>
    <row r="108" spans="2:8" x14ac:dyDescent="0.25">
      <c r="D108" s="75"/>
    </row>
    <row r="109" spans="2:8" x14ac:dyDescent="0.25">
      <c r="D109" s="75"/>
    </row>
    <row r="110" spans="2:8" x14ac:dyDescent="0.25">
      <c r="D110" s="75"/>
    </row>
    <row r="111" spans="2:8" x14ac:dyDescent="0.25">
      <c r="D111" s="75"/>
    </row>
    <row r="112" spans="2:8" x14ac:dyDescent="0.25">
      <c r="D112" s="75"/>
    </row>
    <row r="113" spans="4:4" x14ac:dyDescent="0.25">
      <c r="D113" s="75"/>
    </row>
    <row r="114" spans="4:4" x14ac:dyDescent="0.25">
      <c r="D114" s="75"/>
    </row>
    <row r="115" spans="4:4" x14ac:dyDescent="0.25">
      <c r="D115" s="75"/>
    </row>
    <row r="116" spans="4:4" x14ac:dyDescent="0.25">
      <c r="D116" s="75"/>
    </row>
    <row r="117" spans="4:4" x14ac:dyDescent="0.25">
      <c r="D117" s="75"/>
    </row>
    <row r="118" spans="4:4" x14ac:dyDescent="0.25">
      <c r="D118" s="75"/>
    </row>
    <row r="119" spans="4:4" x14ac:dyDescent="0.25">
      <c r="D119" s="75"/>
    </row>
    <row r="120" spans="4:4" x14ac:dyDescent="0.25">
      <c r="D120" s="75"/>
    </row>
    <row r="121" spans="4:4" x14ac:dyDescent="0.25">
      <c r="D121" s="75"/>
    </row>
    <row r="122" spans="4:4" x14ac:dyDescent="0.25">
      <c r="D122" s="75"/>
    </row>
    <row r="123" spans="4:4" x14ac:dyDescent="0.25">
      <c r="D123" s="75"/>
    </row>
    <row r="124" spans="4:4" x14ac:dyDescent="0.25">
      <c r="D124" s="75"/>
    </row>
    <row r="125" spans="4:4" x14ac:dyDescent="0.25">
      <c r="D125" s="75"/>
    </row>
    <row r="126" spans="4:4" x14ac:dyDescent="0.25">
      <c r="D126" s="75"/>
    </row>
    <row r="127" spans="4:4" x14ac:dyDescent="0.25">
      <c r="D127" s="75"/>
    </row>
    <row r="128" spans="4:4" x14ac:dyDescent="0.25">
      <c r="D128" s="75"/>
    </row>
    <row r="129" spans="2:9" x14ac:dyDescent="0.25">
      <c r="D129" s="75"/>
    </row>
    <row r="130" spans="2:9" x14ac:dyDescent="0.25">
      <c r="D130" s="75"/>
    </row>
    <row r="131" spans="2:9" x14ac:dyDescent="0.25">
      <c r="D131" s="75"/>
    </row>
    <row r="132" spans="2:9" x14ac:dyDescent="0.25">
      <c r="D132" s="75"/>
    </row>
    <row r="133" spans="2:9" x14ac:dyDescent="0.25">
      <c r="D133" s="75"/>
    </row>
    <row r="134" spans="2:9" x14ac:dyDescent="0.25">
      <c r="D134" s="75"/>
    </row>
    <row r="135" spans="2:9" x14ac:dyDescent="0.25">
      <c r="D135" s="75"/>
    </row>
    <row r="136" spans="2:9" x14ac:dyDescent="0.25">
      <c r="D136" s="74"/>
    </row>
    <row r="137" spans="2:9" ht="31.5" x14ac:dyDescent="0.5">
      <c r="D137" s="74"/>
      <c r="H137" s="133"/>
      <c r="I137" s="133"/>
    </row>
    <row r="138" spans="2:9" x14ac:dyDescent="0.25">
      <c r="D138" s="74"/>
    </row>
    <row r="139" spans="2:9" x14ac:dyDescent="0.25">
      <c r="D139" s="74"/>
    </row>
    <row r="140" spans="2:9" x14ac:dyDescent="0.25">
      <c r="B140" t="e">
        <f>VLOOKUP($B$6,DTH!$A:$CI,66,0)</f>
        <v>#N/A</v>
      </c>
      <c r="C140" s="89"/>
      <c r="H140" s="159" t="e">
        <f>HYPERLINK(B140,"Abrir Imagen")</f>
        <v>#N/A</v>
      </c>
    </row>
    <row r="141" spans="2:9" x14ac:dyDescent="0.25">
      <c r="D141" s="74"/>
    </row>
    <row r="142" spans="2:9" x14ac:dyDescent="0.25">
      <c r="D142" s="74"/>
    </row>
    <row r="143" spans="2:9" x14ac:dyDescent="0.25">
      <c r="D143" s="75"/>
    </row>
    <row r="144" spans="2:9" x14ac:dyDescent="0.25">
      <c r="D144" s="75"/>
    </row>
    <row r="145" spans="4:4" x14ac:dyDescent="0.25">
      <c r="D145" s="75"/>
    </row>
    <row r="146" spans="4:4" x14ac:dyDescent="0.25">
      <c r="D146" s="75"/>
    </row>
    <row r="147" spans="4:4" x14ac:dyDescent="0.25">
      <c r="D147" s="75"/>
    </row>
    <row r="148" spans="4:4" x14ac:dyDescent="0.25">
      <c r="D148" s="75"/>
    </row>
    <row r="149" spans="4:4" x14ac:dyDescent="0.25">
      <c r="D149" s="75"/>
    </row>
    <row r="150" spans="4:4" x14ac:dyDescent="0.25">
      <c r="D150" s="75"/>
    </row>
    <row r="151" spans="4:4" x14ac:dyDescent="0.25">
      <c r="D151" s="75"/>
    </row>
    <row r="152" spans="4:4" x14ac:dyDescent="0.25">
      <c r="D152" s="75"/>
    </row>
    <row r="153" spans="4:4" x14ac:dyDescent="0.25">
      <c r="D153" s="75"/>
    </row>
    <row r="154" spans="4:4" x14ac:dyDescent="0.25">
      <c r="D154" s="75"/>
    </row>
    <row r="155" spans="4:4" x14ac:dyDescent="0.25">
      <c r="D155" s="75"/>
    </row>
    <row r="156" spans="4:4" x14ac:dyDescent="0.25">
      <c r="D156" s="75"/>
    </row>
    <row r="157" spans="4:4" x14ac:dyDescent="0.25">
      <c r="D157" s="75"/>
    </row>
    <row r="158" spans="4:4" x14ac:dyDescent="0.25">
      <c r="D158" s="75"/>
    </row>
    <row r="159" spans="4:4" x14ac:dyDescent="0.25">
      <c r="D159" s="75"/>
    </row>
    <row r="160" spans="4:4" x14ac:dyDescent="0.25">
      <c r="D160" s="75"/>
    </row>
    <row r="161" spans="4:4" x14ac:dyDescent="0.25">
      <c r="D161" s="75"/>
    </row>
    <row r="162" spans="4:4" x14ac:dyDescent="0.25">
      <c r="D162" s="75"/>
    </row>
    <row r="163" spans="4:4" x14ac:dyDescent="0.25">
      <c r="D163" s="75"/>
    </row>
    <row r="164" spans="4:4" x14ac:dyDescent="0.25">
      <c r="D164" s="75"/>
    </row>
    <row r="165" spans="4:4" x14ac:dyDescent="0.25">
      <c r="D165" s="75"/>
    </row>
    <row r="166" spans="4:4" x14ac:dyDescent="0.25">
      <c r="D166" s="75"/>
    </row>
    <row r="167" spans="4:4" x14ac:dyDescent="0.25">
      <c r="D167" s="75"/>
    </row>
    <row r="168" spans="4:4" x14ac:dyDescent="0.25">
      <c r="D168" s="75"/>
    </row>
    <row r="169" spans="4:4" x14ac:dyDescent="0.25">
      <c r="D169" s="75"/>
    </row>
    <row r="170" spans="4:4" x14ac:dyDescent="0.25">
      <c r="D170" s="75"/>
    </row>
    <row r="171" spans="4:4" x14ac:dyDescent="0.25">
      <c r="D171" s="75"/>
    </row>
    <row r="172" spans="4:4" x14ac:dyDescent="0.25">
      <c r="D172" s="75"/>
    </row>
    <row r="173" spans="4:4" x14ac:dyDescent="0.25">
      <c r="D173" s="75"/>
    </row>
    <row r="174" spans="4:4" x14ac:dyDescent="0.25">
      <c r="D174" s="75"/>
    </row>
    <row r="175" spans="4:4" x14ac:dyDescent="0.25">
      <c r="D175" s="75"/>
    </row>
    <row r="176" spans="4:4" x14ac:dyDescent="0.25">
      <c r="D176" s="75"/>
    </row>
    <row r="177" spans="4:4" x14ac:dyDescent="0.25">
      <c r="D177" s="75"/>
    </row>
    <row r="178" spans="4:4" x14ac:dyDescent="0.25">
      <c r="D178" s="75"/>
    </row>
    <row r="179" spans="4:4" x14ac:dyDescent="0.25">
      <c r="D179" s="75"/>
    </row>
    <row r="180" spans="4:4" x14ac:dyDescent="0.25">
      <c r="D180" s="75"/>
    </row>
  </sheetData>
  <mergeCells count="40">
    <mergeCell ref="B39:H41"/>
    <mergeCell ref="C31:G31"/>
    <mergeCell ref="A32:A37"/>
    <mergeCell ref="B32:B37"/>
    <mergeCell ref="C32:G32"/>
    <mergeCell ref="C33:G33"/>
    <mergeCell ref="C34:G34"/>
    <mergeCell ref="C35:G35"/>
    <mergeCell ref="C36:G36"/>
    <mergeCell ref="C37:G37"/>
    <mergeCell ref="A30:H30"/>
    <mergeCell ref="C20:G20"/>
    <mergeCell ref="C21:G21"/>
    <mergeCell ref="A23:A28"/>
    <mergeCell ref="B23:B28"/>
    <mergeCell ref="C23:G23"/>
    <mergeCell ref="C24:G24"/>
    <mergeCell ref="C25:G25"/>
    <mergeCell ref="C26:G26"/>
    <mergeCell ref="C27:G27"/>
    <mergeCell ref="C28:G28"/>
    <mergeCell ref="C14:G14"/>
    <mergeCell ref="A15:A21"/>
    <mergeCell ref="B15:B21"/>
    <mergeCell ref="C15:G15"/>
    <mergeCell ref="C16:G16"/>
    <mergeCell ref="C17:G17"/>
    <mergeCell ref="C18:G18"/>
    <mergeCell ref="C19:G19"/>
    <mergeCell ref="A10:B10"/>
    <mergeCell ref="C10:F10"/>
    <mergeCell ref="H10:I10"/>
    <mergeCell ref="C11:F11"/>
    <mergeCell ref="H11:I11"/>
    <mergeCell ref="B2:F2"/>
    <mergeCell ref="H1:J1"/>
    <mergeCell ref="H3:I3"/>
    <mergeCell ref="A9:B9"/>
    <mergeCell ref="C9:F9"/>
    <mergeCell ref="H9:I9"/>
  </mergeCells>
  <conditionalFormatting sqref="I15:I28 I32:I37 I30">
    <cfRule type="containsText" dxfId="25" priority="7" operator="containsText" text="NO">
      <formula>NOT(ISERROR(SEARCH("NO",I15)))</formula>
    </cfRule>
  </conditionalFormatting>
  <conditionalFormatting sqref="I46">
    <cfRule type="containsText" dxfId="24" priority="6" operator="containsText" text="NO">
      <formula>NOT(ISERROR(SEARCH("NO",I46)))</formula>
    </cfRule>
  </conditionalFormatting>
  <conditionalFormatting sqref="B6">
    <cfRule type="duplicateValues" dxfId="23" priority="3"/>
    <cfRule type="duplicateValues" dxfId="22" priority="4"/>
    <cfRule type="duplicateValues" dxfId="21" priority="5"/>
  </conditionalFormatting>
  <conditionalFormatting sqref="B6">
    <cfRule type="duplicateValues" dxfId="20" priority="1"/>
    <cfRule type="duplicateValues" dxfId="19" priority="2"/>
  </conditionalFormatting>
  <pageMargins left="0.70866141732283472" right="0.70866141732283472" top="0.74803149606299213" bottom="0.74803149606299213" header="0.31496062992125984" footer="0.31496062992125984"/>
  <pageSetup scale="65" orientation="portrait" r:id="rId1"/>
  <headerFooter>
    <oddFooter>&amp;RF.OLIVA</oddFooter>
  </headerFooter>
  <rowBreaks count="3" manualBreakCount="3">
    <brk id="51" max="10" man="1"/>
    <brk id="92" max="10" man="1"/>
    <brk id="134" max="10" man="1"/>
  </rowBreaks>
  <drawing r:id="rId2"/>
  <legacyDrawing r:id="rId3"/>
  <controls>
    <mc:AlternateContent xmlns:mc="http://schemas.openxmlformats.org/markup-compatibility/2006">
      <mc:Choice Requires="x14">
        <control shapeId="3074" r:id="rId4" name="CB1">
          <controlPr defaultSize="0" autoLine="0" r:id="rId5">
            <anchor moveWithCells="1">
              <from>
                <xdr:col>6</xdr:col>
                <xdr:colOff>723900</xdr:colOff>
                <xdr:row>3</xdr:row>
                <xdr:rowOff>171450</xdr:rowOff>
              </from>
              <to>
                <xdr:col>9</xdr:col>
                <xdr:colOff>47625</xdr:colOff>
                <xdr:row>6</xdr:row>
                <xdr:rowOff>161925</xdr:rowOff>
              </to>
            </anchor>
          </controlPr>
        </control>
      </mc:Choice>
      <mc:Fallback>
        <control shapeId="3074" r:id="rId4" name="CB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A1:I205"/>
  <sheetViews>
    <sheetView showGridLines="0" view="pageBreakPreview" zoomScale="85" zoomScaleNormal="100" zoomScaleSheetLayoutView="85" workbookViewId="0">
      <selection activeCell="B6" sqref="B6"/>
    </sheetView>
  </sheetViews>
  <sheetFormatPr baseColWidth="10" defaultColWidth="11.42578125" defaultRowHeight="12.75" x14ac:dyDescent="0.2"/>
  <cols>
    <col min="1" max="1" width="29.140625" style="24" bestFit="1" customWidth="1"/>
    <col min="2" max="2" width="27.85546875" style="24" bestFit="1" customWidth="1"/>
    <col min="3" max="4" width="11.42578125" style="24" customWidth="1"/>
    <col min="5" max="16384" width="11.42578125" style="24"/>
  </cols>
  <sheetData>
    <row r="1" spans="1:8" ht="31.5" x14ac:dyDescent="0.5">
      <c r="E1" s="179"/>
      <c r="F1" s="179"/>
      <c r="G1" s="179"/>
      <c r="H1" s="179"/>
    </row>
    <row r="2" spans="1:8" ht="18.75" x14ac:dyDescent="0.3">
      <c r="B2" s="209" t="s">
        <v>40</v>
      </c>
      <c r="C2" s="209"/>
      <c r="D2" s="209"/>
      <c r="E2" s="209"/>
    </row>
    <row r="3" spans="1:8" ht="15" x14ac:dyDescent="0.25">
      <c r="A3" s="4" t="s">
        <v>1</v>
      </c>
      <c r="B3" s="86" t="e">
        <f>VLOOKUP($B$6,DTH!$A:$CI,5,0)</f>
        <v>#N/A</v>
      </c>
      <c r="C3" s="6" t="s">
        <v>2</v>
      </c>
      <c r="D3" s="154" t="e">
        <f>VLOOKUP($B$6,DTH!$A:$CI,2,0)</f>
        <v>#N/A</v>
      </c>
    </row>
    <row r="4" spans="1:8" ht="15" x14ac:dyDescent="0.25">
      <c r="A4" s="4" t="s">
        <v>3</v>
      </c>
      <c r="B4" s="86" t="s">
        <v>71</v>
      </c>
      <c r="C4" s="5"/>
      <c r="D4" s="5"/>
    </row>
    <row r="5" spans="1:8" ht="15" x14ac:dyDescent="0.25">
      <c r="A5" s="7" t="s">
        <v>4</v>
      </c>
      <c r="B5" s="86" t="e">
        <f>VLOOKUP($B$6,DTH!$A:$CI,6,0)</f>
        <v>#N/A</v>
      </c>
      <c r="C5"/>
      <c r="D5"/>
    </row>
    <row r="6" spans="1:8" ht="15" x14ac:dyDescent="0.25">
      <c r="A6" s="7" t="s">
        <v>125</v>
      </c>
      <c r="B6" s="158"/>
      <c r="C6" s="30"/>
      <c r="D6" s="8"/>
    </row>
    <row r="7" spans="1:8" ht="15" x14ac:dyDescent="0.25">
      <c r="A7" s="4" t="s">
        <v>6</v>
      </c>
      <c r="B7" s="86" t="e">
        <f>VLOOKUP($B$6,DTH!$A:$CI,7,0)</f>
        <v>#N/A</v>
      </c>
      <c r="C7"/>
      <c r="D7" s="8"/>
    </row>
    <row r="8" spans="1:8" ht="15" x14ac:dyDescent="0.25">
      <c r="A8" s="4" t="s">
        <v>5</v>
      </c>
      <c r="B8" s="86"/>
      <c r="C8" s="8"/>
      <c r="D8" s="8"/>
    </row>
    <row r="9" spans="1:8" ht="15" x14ac:dyDescent="0.25">
      <c r="A9" s="4" t="s">
        <v>126</v>
      </c>
      <c r="B9" s="86" t="s">
        <v>73</v>
      </c>
      <c r="C9" s="124"/>
    </row>
    <row r="10" spans="1:8" ht="15" x14ac:dyDescent="0.25">
      <c r="A10" s="13"/>
      <c r="B10" s="14"/>
      <c r="C10"/>
      <c r="D10"/>
    </row>
    <row r="11" spans="1:8" ht="25.5" x14ac:dyDescent="0.2">
      <c r="A11" s="31" t="s">
        <v>7</v>
      </c>
      <c r="B11" s="83" t="e">
        <f>VLOOKUP($B$6,DTH!$A:$CI,8,0)</f>
        <v>#N/A</v>
      </c>
      <c r="C11" s="94" t="s">
        <v>8</v>
      </c>
      <c r="D11" s="83"/>
    </row>
    <row r="12" spans="1:8" ht="25.5" x14ac:dyDescent="0.2">
      <c r="A12" s="32" t="s">
        <v>9</v>
      </c>
      <c r="B12" s="83" t="e">
        <f>VLOOKUP($B$6,DTH!$A:$CI,9,0)</f>
        <v>#N/A</v>
      </c>
      <c r="C12" s="94" t="s">
        <v>8</v>
      </c>
      <c r="D12" s="83"/>
    </row>
    <row r="15" spans="1:8" x14ac:dyDescent="0.2">
      <c r="A15" s="33" t="s">
        <v>41</v>
      </c>
      <c r="B15" s="34" t="s">
        <v>13</v>
      </c>
      <c r="C15" s="72" t="s">
        <v>42</v>
      </c>
      <c r="D15" s="72" t="s">
        <v>124</v>
      </c>
    </row>
    <row r="16" spans="1:8" ht="15" x14ac:dyDescent="0.25">
      <c r="A16" s="36" t="s">
        <v>43</v>
      </c>
      <c r="B16" s="101">
        <v>10</v>
      </c>
      <c r="C16" s="102" t="e">
        <f>VLOOKUP($B$6,DTH!$A:$CI,47,0)</f>
        <v>#N/A</v>
      </c>
      <c r="D16" s="69" t="e">
        <f>IF(C16="si",10,IF(C16="no",0,IF(C16="n/a",10)))</f>
        <v>#N/A</v>
      </c>
    </row>
    <row r="17" spans="1:4" ht="15" x14ac:dyDescent="0.25">
      <c r="A17" s="36" t="s">
        <v>45</v>
      </c>
      <c r="B17" s="101">
        <v>10</v>
      </c>
      <c r="C17" s="102" t="e">
        <f>VLOOKUP($B$6,DTH!$A:$CI,48,0)</f>
        <v>#N/A</v>
      </c>
      <c r="D17" s="69" t="e">
        <f>IF(C17="si",10,IF(C17="no",0,IF(C17="n/a",10)))</f>
        <v>#N/A</v>
      </c>
    </row>
    <row r="18" spans="1:4" ht="15" x14ac:dyDescent="0.25">
      <c r="A18" s="36" t="s">
        <v>46</v>
      </c>
      <c r="B18" s="101">
        <v>15</v>
      </c>
      <c r="C18" s="102" t="e">
        <f>VLOOKUP($B$6,DTH!$A:$CI,49,0)</f>
        <v>#N/A</v>
      </c>
      <c r="D18" s="69" t="e">
        <f>IF(C18="si",15,IF(C18="no",0,IF(C18="n/a",15)))</f>
        <v>#N/A</v>
      </c>
    </row>
    <row r="19" spans="1:4" ht="15" x14ac:dyDescent="0.25">
      <c r="A19" s="36" t="s">
        <v>47</v>
      </c>
      <c r="B19" s="101">
        <v>15</v>
      </c>
      <c r="C19" s="102" t="e">
        <f>VLOOKUP($B$6,DTH!$A:$CI,50,0)</f>
        <v>#N/A</v>
      </c>
      <c r="D19" s="69" t="e">
        <f>IF(C19="si",15,IF(C19="no",0,IF(C19="n/a",15)))</f>
        <v>#N/A</v>
      </c>
    </row>
    <row r="20" spans="1:4" ht="15" x14ac:dyDescent="0.25">
      <c r="A20" s="36" t="s">
        <v>48</v>
      </c>
      <c r="B20" s="101">
        <v>10</v>
      </c>
      <c r="C20" s="102" t="e">
        <f>VLOOKUP($B$6,DTH!$A:$CI,51,0)</f>
        <v>#N/A</v>
      </c>
      <c r="D20" s="69" t="e">
        <f>IF(C20="si",10,IF(C20="no",0,IF(C20="n/a",10)))</f>
        <v>#N/A</v>
      </c>
    </row>
    <row r="21" spans="1:4" ht="15" x14ac:dyDescent="0.25">
      <c r="A21" s="38" t="s">
        <v>49</v>
      </c>
      <c r="B21" s="103">
        <v>10</v>
      </c>
      <c r="C21" s="102" t="e">
        <f>VLOOKUP($B$6,DTH!$A:$CI,52,0)</f>
        <v>#N/A</v>
      </c>
      <c r="D21" s="69" t="e">
        <f>IF(C21="si",10,IF(C21="no",0,IF(C21="n/a",10)))</f>
        <v>#N/A</v>
      </c>
    </row>
    <row r="22" spans="1:4" ht="15" x14ac:dyDescent="0.25">
      <c r="A22" s="39" t="s">
        <v>50</v>
      </c>
      <c r="B22" s="101">
        <v>10</v>
      </c>
      <c r="C22" s="102" t="e">
        <f>VLOOKUP($B$6,DTH!$A:$CI,53,0)</f>
        <v>#N/A</v>
      </c>
      <c r="D22" s="69" t="e">
        <f>IF(C22="si",10,IF(C22="no",0,IF(C22="n/a",10)))</f>
        <v>#N/A</v>
      </c>
    </row>
    <row r="23" spans="1:4" ht="15" x14ac:dyDescent="0.25">
      <c r="A23" s="40" t="s">
        <v>51</v>
      </c>
      <c r="B23" s="101">
        <v>10</v>
      </c>
      <c r="C23" s="102" t="e">
        <f>VLOOKUP($B$6,DTH!$A:$CI,54,0)</f>
        <v>#N/A</v>
      </c>
      <c r="D23" s="69" t="e">
        <f>IF(C23="si",10,IF(C23="no",0,IF(C23="n/a",10)))</f>
        <v>#N/A</v>
      </c>
    </row>
    <row r="24" spans="1:4" ht="15.75" thickBot="1" x14ac:dyDescent="0.3">
      <c r="A24" s="36" t="s">
        <v>52</v>
      </c>
      <c r="B24" s="101">
        <v>10</v>
      </c>
      <c r="C24" s="102" t="e">
        <f>VLOOKUP($B$6,DTH!$A:$CI,55,0)</f>
        <v>#N/A</v>
      </c>
      <c r="D24" s="77" t="e">
        <f>IF(C24="si",10,IF(C24="no",0,IF(C24="n/a",10)))</f>
        <v>#N/A</v>
      </c>
    </row>
    <row r="25" spans="1:4" ht="16.5" thickBot="1" x14ac:dyDescent="0.3">
      <c r="A25" s="41" t="s">
        <v>53</v>
      </c>
      <c r="B25" s="104">
        <f>SUM(B16:B24)</f>
        <v>100</v>
      </c>
      <c r="D25" s="78" t="e">
        <f>SUM(D16:D24)</f>
        <v>#N/A</v>
      </c>
    </row>
    <row r="26" spans="1:4" x14ac:dyDescent="0.2">
      <c r="A26" s="41"/>
      <c r="B26" s="42"/>
    </row>
    <row r="27" spans="1:4" x14ac:dyDescent="0.2">
      <c r="A27" s="44"/>
      <c r="B27" s="44"/>
    </row>
    <row r="28" spans="1:4" x14ac:dyDescent="0.2">
      <c r="A28" s="44" t="s">
        <v>55</v>
      </c>
      <c r="B28" s="37" t="s">
        <v>44</v>
      </c>
    </row>
    <row r="29" spans="1:4" x14ac:dyDescent="0.2">
      <c r="A29" s="45"/>
      <c r="B29" s="45"/>
    </row>
    <row r="30" spans="1:4" x14ac:dyDescent="0.2">
      <c r="A30" s="35" t="s">
        <v>56</v>
      </c>
      <c r="B30" s="46" t="s">
        <v>13</v>
      </c>
      <c r="C30" s="72" t="s">
        <v>42</v>
      </c>
      <c r="D30" s="72" t="s">
        <v>124</v>
      </c>
    </row>
    <row r="31" spans="1:4" ht="15" x14ac:dyDescent="0.25">
      <c r="A31" s="47" t="s">
        <v>57</v>
      </c>
      <c r="B31" s="105">
        <v>20</v>
      </c>
      <c r="C31" s="86" t="e">
        <f>VLOOKUP($B$6,DTH!$A:$CI,56,0)</f>
        <v>#N/A</v>
      </c>
      <c r="D31" s="69" t="e">
        <f>IF(C31="si",20,IF(C31="no",0,IF(C31="n/a",20)))</f>
        <v>#N/A</v>
      </c>
    </row>
    <row r="32" spans="1:4" ht="15" x14ac:dyDescent="0.25">
      <c r="A32" s="47" t="s">
        <v>58</v>
      </c>
      <c r="B32" s="106">
        <v>20</v>
      </c>
      <c r="C32" s="86" t="e">
        <f>VLOOKUP($B$6,DTH!$A:$CI,57,0)</f>
        <v>#N/A</v>
      </c>
      <c r="D32" s="69" t="e">
        <f>IF(C32="si",20,IF(C32="no",0,IF(C32="n/a",20)))</f>
        <v>#N/A</v>
      </c>
    </row>
    <row r="33" spans="1:4" ht="15" x14ac:dyDescent="0.25">
      <c r="A33" s="47" t="s">
        <v>59</v>
      </c>
      <c r="B33" s="106">
        <v>20</v>
      </c>
      <c r="C33" s="86" t="e">
        <f>VLOOKUP($B$6,DTH!$A:$CI,58,0)</f>
        <v>#N/A</v>
      </c>
      <c r="D33" s="69" t="e">
        <f>IF(C33="si",20,IF(C33="no",0,IF(C33="n/a",20)))</f>
        <v>#N/A</v>
      </c>
    </row>
    <row r="34" spans="1:4" ht="15" x14ac:dyDescent="0.25">
      <c r="A34" s="47" t="s">
        <v>60</v>
      </c>
      <c r="B34" s="106">
        <v>20</v>
      </c>
      <c r="C34" s="86" t="e">
        <f>VLOOKUP($B$6,DTH!$A:$CI,59,0)</f>
        <v>#N/A</v>
      </c>
      <c r="D34" s="69" t="e">
        <f>IF(C34="si",20,IF(C34="no",0,IF(C34="n/a",20)))</f>
        <v>#N/A</v>
      </c>
    </row>
    <row r="35" spans="1:4" ht="15" x14ac:dyDescent="0.25">
      <c r="A35" s="47" t="s">
        <v>61</v>
      </c>
      <c r="B35" s="106">
        <v>5</v>
      </c>
      <c r="C35" s="86" t="e">
        <f>VLOOKUP($B$6,DTH!$A:$CI,60,0)</f>
        <v>#N/A</v>
      </c>
      <c r="D35" s="69" t="e">
        <f>IF(C35="si",5,IF(C35="no",0,IF(C35="n/a",5)))</f>
        <v>#N/A</v>
      </c>
    </row>
    <row r="36" spans="1:4" ht="15.75" thickBot="1" x14ac:dyDescent="0.3">
      <c r="A36" s="47" t="s">
        <v>62</v>
      </c>
      <c r="B36" s="106">
        <v>15</v>
      </c>
      <c r="C36" s="86" t="e">
        <f>VLOOKUP($B$6,DTH!$A:$CI,61,0)</f>
        <v>#N/A</v>
      </c>
      <c r="D36" s="77" t="e">
        <f>IF(C36="si",15,IF(C36="no",0,IF(C36="n/a",15)))</f>
        <v>#N/A</v>
      </c>
    </row>
    <row r="37" spans="1:4" ht="16.5" thickBot="1" x14ac:dyDescent="0.25">
      <c r="A37" s="48" t="s">
        <v>53</v>
      </c>
      <c r="B37" s="108">
        <f>SUM(B31:B36)</f>
        <v>100</v>
      </c>
      <c r="C37" s="49"/>
      <c r="D37" s="107" t="e">
        <f>SUM(D31:D36)</f>
        <v>#N/A</v>
      </c>
    </row>
    <row r="38" spans="1:4" x14ac:dyDescent="0.2">
      <c r="A38" s="50"/>
      <c r="B38" s="51"/>
      <c r="C38" s="49"/>
      <c r="D38" s="49"/>
    </row>
    <row r="39" spans="1:4" x14ac:dyDescent="0.2">
      <c r="A39" s="35" t="s">
        <v>161</v>
      </c>
      <c r="B39" s="46" t="s">
        <v>13</v>
      </c>
      <c r="C39" s="72" t="s">
        <v>42</v>
      </c>
      <c r="D39" s="72" t="s">
        <v>124</v>
      </c>
    </row>
    <row r="40" spans="1:4" ht="15" x14ac:dyDescent="0.25">
      <c r="A40" s="53" t="s">
        <v>63</v>
      </c>
      <c r="B40" s="109">
        <v>10</v>
      </c>
      <c r="C40" s="86"/>
      <c r="D40" s="86"/>
    </row>
    <row r="41" spans="1:4" ht="15" x14ac:dyDescent="0.25">
      <c r="A41" s="53" t="s">
        <v>64</v>
      </c>
      <c r="B41" s="109">
        <v>10</v>
      </c>
      <c r="C41" s="86"/>
      <c r="D41" s="86"/>
    </row>
    <row r="42" spans="1:4" ht="15" x14ac:dyDescent="0.25">
      <c r="A42" s="53" t="s">
        <v>65</v>
      </c>
      <c r="B42" s="110">
        <v>10</v>
      </c>
      <c r="C42" s="86"/>
      <c r="D42" s="86"/>
    </row>
    <row r="43" spans="1:4" ht="15" x14ac:dyDescent="0.25">
      <c r="A43" s="53" t="s">
        <v>66</v>
      </c>
      <c r="B43" s="111">
        <v>10</v>
      </c>
      <c r="C43" s="86"/>
      <c r="D43" s="86"/>
    </row>
    <row r="44" spans="1:4" x14ac:dyDescent="0.2">
      <c r="A44" s="48" t="s">
        <v>53</v>
      </c>
      <c r="B44" s="108">
        <f>SUM(B40:B43)</f>
        <v>40</v>
      </c>
    </row>
    <row r="47" spans="1:4" x14ac:dyDescent="0.2">
      <c r="A47" s="141" t="s">
        <v>54</v>
      </c>
      <c r="B47" s="142"/>
      <c r="C47" s="142"/>
      <c r="D47" s="143"/>
    </row>
    <row r="48" spans="1:4" x14ac:dyDescent="0.2">
      <c r="A48" s="220" t="e">
        <f>VLOOKUP($B$6,DTH!$A:$CI,75,0)</f>
        <v>#N/A</v>
      </c>
      <c r="B48" s="221" t="e">
        <f>VLOOKUP($B$6,DTH!$A:$CI,5,0)</f>
        <v>#N/A</v>
      </c>
      <c r="C48" s="221" t="e">
        <f>VLOOKUP($B$6,DTH!$A:$CI,5,0)</f>
        <v>#N/A</v>
      </c>
      <c r="D48" s="222" t="e">
        <f>VLOOKUP($B$6,DTH!$A:$CI,5,0)</f>
        <v>#N/A</v>
      </c>
    </row>
    <row r="49" spans="1:9" x14ac:dyDescent="0.2">
      <c r="A49" s="144"/>
      <c r="B49" s="145"/>
      <c r="C49" s="145"/>
      <c r="D49" s="146"/>
    </row>
    <row r="50" spans="1:9" x14ac:dyDescent="0.2">
      <c r="A50" s="43"/>
      <c r="B50" s="43"/>
      <c r="C50" s="43"/>
      <c r="D50" s="43"/>
    </row>
    <row r="51" spans="1:9" x14ac:dyDescent="0.2">
      <c r="A51" s="45"/>
      <c r="B51" s="45"/>
    </row>
    <row r="52" spans="1:9" x14ac:dyDescent="0.2">
      <c r="A52" s="43"/>
      <c r="B52" s="43"/>
      <c r="C52" s="43"/>
      <c r="D52" s="43"/>
    </row>
    <row r="53" spans="1:9" x14ac:dyDescent="0.2">
      <c r="A53" s="35" t="s">
        <v>67</v>
      </c>
      <c r="B53" s="46" t="s">
        <v>13</v>
      </c>
      <c r="C53" s="35" t="s">
        <v>42</v>
      </c>
      <c r="D53" s="43"/>
    </row>
    <row r="54" spans="1:9" ht="15" x14ac:dyDescent="0.25">
      <c r="A54" s="52" t="s">
        <v>68</v>
      </c>
      <c r="B54" s="177">
        <v>100</v>
      </c>
      <c r="C54" s="69" t="e">
        <f>VLOOKUP($B$6,DTH!$A:$CI,62,0)</f>
        <v>#N/A</v>
      </c>
      <c r="D54" s="69" t="e">
        <f>IF(C54="si",100,IF(C54="no",0,IF(C54="n/a",0)))</f>
        <v>#N/A</v>
      </c>
    </row>
    <row r="55" spans="1:9" x14ac:dyDescent="0.2">
      <c r="A55" s="43"/>
      <c r="B55" s="43"/>
      <c r="C55" s="43"/>
      <c r="D55" s="43"/>
    </row>
    <row r="56" spans="1:9" x14ac:dyDescent="0.2">
      <c r="A56" s="211" t="s">
        <v>54</v>
      </c>
      <c r="B56" s="212"/>
      <c r="C56" s="212"/>
      <c r="D56" s="213"/>
    </row>
    <row r="57" spans="1:9" x14ac:dyDescent="0.2">
      <c r="A57" s="214"/>
      <c r="B57" s="215"/>
      <c r="C57" s="215"/>
      <c r="D57" s="216"/>
    </row>
    <row r="58" spans="1:9" x14ac:dyDescent="0.2">
      <c r="A58" s="217"/>
      <c r="B58" s="218"/>
      <c r="C58" s="218"/>
      <c r="D58" s="219"/>
    </row>
    <row r="59" spans="1:9" x14ac:dyDescent="0.2">
      <c r="A59" s="43"/>
      <c r="B59" s="43"/>
      <c r="C59" s="43"/>
      <c r="D59" s="43"/>
    </row>
    <row r="60" spans="1:9" ht="15" x14ac:dyDescent="0.2">
      <c r="A60" s="148" t="s">
        <v>39</v>
      </c>
      <c r="B60" s="27" t="s">
        <v>151</v>
      </c>
      <c r="D60" s="27" t="s">
        <v>152</v>
      </c>
      <c r="G60" s="27" t="s">
        <v>158</v>
      </c>
      <c r="H60" s="89"/>
    </row>
    <row r="61" spans="1:9" ht="15" x14ac:dyDescent="0.25">
      <c r="A61" s="28"/>
      <c r="B61" s="26"/>
      <c r="C61" s="29"/>
      <c r="D61" s="29"/>
      <c r="F61"/>
      <c r="G61"/>
      <c r="H61" s="89"/>
      <c r="I61" s="89"/>
    </row>
    <row r="62" spans="1:9" ht="15" x14ac:dyDescent="0.2">
      <c r="A62" s="149" t="s">
        <v>154</v>
      </c>
      <c r="B62" s="149" t="s">
        <v>155</v>
      </c>
      <c r="D62" s="149" t="s">
        <v>156</v>
      </c>
      <c r="G62" s="149" t="s">
        <v>159</v>
      </c>
      <c r="H62" s="89"/>
    </row>
    <row r="67" spans="2:8" ht="31.5" x14ac:dyDescent="0.5">
      <c r="G67" s="210"/>
      <c r="H67" s="210"/>
    </row>
    <row r="71" spans="2:8" ht="15" x14ac:dyDescent="0.25">
      <c r="B71" s="160" t="e">
        <f>VLOOKUP($B$6,DTH!$A:$CI,64,0)</f>
        <v>#N/A</v>
      </c>
      <c r="C71" s="89"/>
      <c r="D71"/>
      <c r="E71"/>
      <c r="F71"/>
      <c r="G71"/>
      <c r="H71" s="159" t="e">
        <f>HYPERLINK(B71,"Abrir Imagen")</f>
        <v>#N/A</v>
      </c>
    </row>
    <row r="122" spans="2:9" customFormat="1" ht="15" x14ac:dyDescent="0.25">
      <c r="D122" s="74"/>
    </row>
    <row r="123" spans="2:9" customFormat="1" ht="15" x14ac:dyDescent="0.25">
      <c r="D123" s="74"/>
    </row>
    <row r="124" spans="2:9" customFormat="1" ht="31.5" x14ac:dyDescent="0.5">
      <c r="D124" s="74"/>
      <c r="H124" s="133"/>
      <c r="I124" s="133"/>
    </row>
    <row r="125" spans="2:9" customFormat="1" ht="15" x14ac:dyDescent="0.25">
      <c r="D125" s="74"/>
    </row>
    <row r="126" spans="2:9" customFormat="1" ht="15" x14ac:dyDescent="0.25">
      <c r="D126" s="74"/>
    </row>
    <row r="127" spans="2:9" customFormat="1" ht="15" x14ac:dyDescent="0.25">
      <c r="B127" s="160" t="e">
        <f>VLOOKUP($B$6,DTH!$A:$CI,65,0)</f>
        <v>#N/A</v>
      </c>
      <c r="C127" s="89"/>
      <c r="H127" s="159" t="e">
        <f>HYPERLINK(B127,"Abrir Imagen")</f>
        <v>#N/A</v>
      </c>
    </row>
    <row r="128" spans="2:9" customFormat="1" ht="15" x14ac:dyDescent="0.25">
      <c r="D128" s="74"/>
    </row>
    <row r="129" spans="4:4" customFormat="1" ht="15" x14ac:dyDescent="0.25">
      <c r="D129" s="74"/>
    </row>
    <row r="130" spans="4:4" customFormat="1" ht="15" x14ac:dyDescent="0.25">
      <c r="D130" s="75"/>
    </row>
    <row r="131" spans="4:4" customFormat="1" ht="15" x14ac:dyDescent="0.25">
      <c r="D131" s="75"/>
    </row>
    <row r="132" spans="4:4" customFormat="1" ht="15" x14ac:dyDescent="0.25">
      <c r="D132" s="75"/>
    </row>
    <row r="133" spans="4:4" customFormat="1" ht="15" x14ac:dyDescent="0.25">
      <c r="D133" s="75"/>
    </row>
    <row r="134" spans="4:4" customFormat="1" ht="15" x14ac:dyDescent="0.25">
      <c r="D134" s="75"/>
    </row>
    <row r="135" spans="4:4" customFormat="1" ht="15" x14ac:dyDescent="0.25">
      <c r="D135" s="75"/>
    </row>
    <row r="136" spans="4:4" customFormat="1" ht="15" x14ac:dyDescent="0.25">
      <c r="D136" s="75"/>
    </row>
    <row r="137" spans="4:4" customFormat="1" ht="15" x14ac:dyDescent="0.25">
      <c r="D137" s="75"/>
    </row>
    <row r="138" spans="4:4" customFormat="1" ht="15" x14ac:dyDescent="0.25">
      <c r="D138" s="75"/>
    </row>
    <row r="139" spans="4:4" customFormat="1" ht="15" x14ac:dyDescent="0.25">
      <c r="D139" s="75"/>
    </row>
    <row r="140" spans="4:4" customFormat="1" ht="15" x14ac:dyDescent="0.25">
      <c r="D140" s="75"/>
    </row>
    <row r="141" spans="4:4" customFormat="1" ht="15" x14ac:dyDescent="0.25">
      <c r="D141" s="75"/>
    </row>
    <row r="142" spans="4:4" customFormat="1" ht="15" x14ac:dyDescent="0.25">
      <c r="D142" s="75"/>
    </row>
    <row r="143" spans="4:4" customFormat="1" ht="15" x14ac:dyDescent="0.25">
      <c r="D143" s="75"/>
    </row>
    <row r="144" spans="4:4" customFormat="1" ht="15" x14ac:dyDescent="0.25">
      <c r="D144" s="75"/>
    </row>
    <row r="145" spans="4:4" customFormat="1" ht="15" x14ac:dyDescent="0.25">
      <c r="D145" s="75"/>
    </row>
    <row r="146" spans="4:4" customFormat="1" ht="15" x14ac:dyDescent="0.25">
      <c r="D146" s="75"/>
    </row>
    <row r="147" spans="4:4" customFormat="1" ht="15" x14ac:dyDescent="0.25">
      <c r="D147" s="75"/>
    </row>
    <row r="148" spans="4:4" customFormat="1" ht="15" x14ac:dyDescent="0.25">
      <c r="D148" s="75"/>
    </row>
    <row r="149" spans="4:4" customFormat="1" ht="15" x14ac:dyDescent="0.25">
      <c r="D149" s="75"/>
    </row>
    <row r="150" spans="4:4" customFormat="1" ht="15" x14ac:dyDescent="0.25">
      <c r="D150" s="75"/>
    </row>
    <row r="151" spans="4:4" customFormat="1" ht="15" x14ac:dyDescent="0.25">
      <c r="D151" s="75"/>
    </row>
    <row r="152" spans="4:4" customFormat="1" ht="15" x14ac:dyDescent="0.25">
      <c r="D152" s="75"/>
    </row>
    <row r="153" spans="4:4" customFormat="1" ht="15" x14ac:dyDescent="0.25">
      <c r="D153" s="75"/>
    </row>
    <row r="154" spans="4:4" customFormat="1" ht="15" x14ac:dyDescent="0.25">
      <c r="D154" s="75"/>
    </row>
    <row r="155" spans="4:4" customFormat="1" ht="15" x14ac:dyDescent="0.25">
      <c r="D155" s="75"/>
    </row>
    <row r="156" spans="4:4" customFormat="1" ht="15" x14ac:dyDescent="0.25">
      <c r="D156" s="75"/>
    </row>
    <row r="157" spans="4:4" customFormat="1" ht="15" x14ac:dyDescent="0.25">
      <c r="D157" s="75"/>
    </row>
    <row r="158" spans="4:4" customFormat="1" ht="15" x14ac:dyDescent="0.25">
      <c r="D158" s="75"/>
    </row>
    <row r="159" spans="4:4" customFormat="1" ht="15" x14ac:dyDescent="0.25">
      <c r="D159" s="75"/>
    </row>
    <row r="160" spans="4:4" customFormat="1" ht="15" x14ac:dyDescent="0.25">
      <c r="D160" s="75"/>
    </row>
    <row r="161" spans="2:9" customFormat="1" ht="15" x14ac:dyDescent="0.25">
      <c r="D161" s="75"/>
    </row>
    <row r="162" spans="2:9" customFormat="1" ht="15" x14ac:dyDescent="0.25">
      <c r="D162" s="75"/>
    </row>
    <row r="163" spans="2:9" customFormat="1" ht="15" x14ac:dyDescent="0.25">
      <c r="D163" s="75"/>
    </row>
    <row r="164" spans="2:9" customFormat="1" ht="15" x14ac:dyDescent="0.25">
      <c r="D164" s="75"/>
    </row>
    <row r="165" spans="2:9" customFormat="1" ht="15" x14ac:dyDescent="0.25">
      <c r="D165" s="74"/>
    </row>
    <row r="166" spans="2:9" customFormat="1" ht="31.5" x14ac:dyDescent="0.5">
      <c r="D166" s="74"/>
      <c r="H166" s="133"/>
      <c r="I166" s="133"/>
    </row>
    <row r="167" spans="2:9" customFormat="1" ht="15" x14ac:dyDescent="0.25">
      <c r="D167" s="74"/>
    </row>
    <row r="168" spans="2:9" customFormat="1" ht="15" x14ac:dyDescent="0.25">
      <c r="D168" s="74"/>
    </row>
    <row r="169" spans="2:9" customFormat="1" ht="15" x14ac:dyDescent="0.25">
      <c r="B169" s="160" t="e">
        <f>VLOOKUP($B$6,DTH!$A:$CI,66,0)</f>
        <v>#N/A</v>
      </c>
      <c r="C169" s="89"/>
      <c r="H169" s="159" t="e">
        <f>HYPERLINK(B169,"Abrir Imagen")</f>
        <v>#N/A</v>
      </c>
    </row>
    <row r="170" spans="2:9" customFormat="1" ht="15" x14ac:dyDescent="0.25">
      <c r="D170" s="74"/>
    </row>
    <row r="171" spans="2:9" customFormat="1" ht="15" x14ac:dyDescent="0.25">
      <c r="D171" s="74"/>
    </row>
    <row r="172" spans="2:9" customFormat="1" ht="15" x14ac:dyDescent="0.25">
      <c r="D172" s="75"/>
    </row>
    <row r="173" spans="2:9" customFormat="1" ht="15" x14ac:dyDescent="0.25">
      <c r="D173" s="75"/>
    </row>
    <row r="174" spans="2:9" customFormat="1" ht="15" x14ac:dyDescent="0.25">
      <c r="D174" s="75"/>
    </row>
    <row r="175" spans="2:9" customFormat="1" ht="15" x14ac:dyDescent="0.25">
      <c r="D175" s="75"/>
    </row>
    <row r="176" spans="2:9" customFormat="1" ht="15" x14ac:dyDescent="0.25">
      <c r="D176" s="75"/>
    </row>
    <row r="177" spans="4:4" customFormat="1" ht="15" x14ac:dyDescent="0.25">
      <c r="D177" s="75"/>
    </row>
    <row r="178" spans="4:4" customFormat="1" ht="15" x14ac:dyDescent="0.25">
      <c r="D178" s="75"/>
    </row>
    <row r="179" spans="4:4" customFormat="1" ht="15" x14ac:dyDescent="0.25">
      <c r="D179" s="75"/>
    </row>
    <row r="180" spans="4:4" customFormat="1" ht="15" x14ac:dyDescent="0.25">
      <c r="D180" s="75"/>
    </row>
    <row r="181" spans="4:4" customFormat="1" ht="15" x14ac:dyDescent="0.25">
      <c r="D181" s="75"/>
    </row>
    <row r="182" spans="4:4" customFormat="1" ht="15" x14ac:dyDescent="0.25">
      <c r="D182" s="75"/>
    </row>
    <row r="183" spans="4:4" customFormat="1" ht="15" x14ac:dyDescent="0.25">
      <c r="D183" s="75"/>
    </row>
    <row r="184" spans="4:4" customFormat="1" ht="15" x14ac:dyDescent="0.25">
      <c r="D184" s="75"/>
    </row>
    <row r="185" spans="4:4" customFormat="1" ht="15" x14ac:dyDescent="0.25">
      <c r="D185" s="75"/>
    </row>
    <row r="186" spans="4:4" customFormat="1" ht="15" x14ac:dyDescent="0.25">
      <c r="D186" s="75"/>
    </row>
    <row r="187" spans="4:4" customFormat="1" ht="15" x14ac:dyDescent="0.25">
      <c r="D187" s="75"/>
    </row>
    <row r="188" spans="4:4" customFormat="1" ht="15" x14ac:dyDescent="0.25">
      <c r="D188" s="75"/>
    </row>
    <row r="189" spans="4:4" customFormat="1" ht="15" x14ac:dyDescent="0.25">
      <c r="D189" s="75"/>
    </row>
    <row r="190" spans="4:4" customFormat="1" ht="15" x14ac:dyDescent="0.25">
      <c r="D190" s="75"/>
    </row>
    <row r="191" spans="4:4" customFormat="1" ht="15" x14ac:dyDescent="0.25">
      <c r="D191" s="75"/>
    </row>
    <row r="192" spans="4:4" customFormat="1" ht="15" x14ac:dyDescent="0.25">
      <c r="D192" s="75"/>
    </row>
    <row r="193" spans="4:4" customFormat="1" ht="15" x14ac:dyDescent="0.25">
      <c r="D193" s="75"/>
    </row>
    <row r="194" spans="4:4" customFormat="1" ht="15" x14ac:dyDescent="0.25">
      <c r="D194" s="75"/>
    </row>
    <row r="195" spans="4:4" customFormat="1" ht="15" x14ac:dyDescent="0.25">
      <c r="D195" s="75"/>
    </row>
    <row r="196" spans="4:4" customFormat="1" ht="15" x14ac:dyDescent="0.25">
      <c r="D196" s="75"/>
    </row>
    <row r="197" spans="4:4" customFormat="1" ht="15" x14ac:dyDescent="0.25">
      <c r="D197" s="75"/>
    </row>
    <row r="198" spans="4:4" customFormat="1" ht="15" x14ac:dyDescent="0.25">
      <c r="D198" s="75"/>
    </row>
    <row r="199" spans="4:4" customFormat="1" ht="15" x14ac:dyDescent="0.25">
      <c r="D199" s="75"/>
    </row>
    <row r="200" spans="4:4" customFormat="1" ht="15" x14ac:dyDescent="0.25">
      <c r="D200" s="75"/>
    </row>
    <row r="201" spans="4:4" customFormat="1" ht="15" x14ac:dyDescent="0.25">
      <c r="D201" s="75"/>
    </row>
    <row r="202" spans="4:4" customFormat="1" ht="15" x14ac:dyDescent="0.25">
      <c r="D202" s="75"/>
    </row>
    <row r="203" spans="4:4" customFormat="1" ht="15" x14ac:dyDescent="0.25">
      <c r="D203" s="75"/>
    </row>
    <row r="204" spans="4:4" customFormat="1" ht="15" x14ac:dyDescent="0.25">
      <c r="D204" s="75"/>
    </row>
    <row r="205" spans="4:4" customFormat="1" ht="15" x14ac:dyDescent="0.25">
      <c r="D205" s="75"/>
    </row>
  </sheetData>
  <mergeCells count="5">
    <mergeCell ref="E1:H1"/>
    <mergeCell ref="B2:E2"/>
    <mergeCell ref="G67:H67"/>
    <mergeCell ref="A56:D58"/>
    <mergeCell ref="A48:D48"/>
  </mergeCells>
  <conditionalFormatting sqref="C16:C24 C31:C36">
    <cfRule type="containsText" dxfId="18" priority="7" operator="containsText" text="NO">
      <formula>NOT(ISERROR(SEARCH("NO",C16)))</formula>
    </cfRule>
  </conditionalFormatting>
  <conditionalFormatting sqref="I61">
    <cfRule type="containsText" dxfId="17" priority="6" operator="containsText" text="NO">
      <formula>NOT(ISERROR(SEARCH("NO",I61)))</formula>
    </cfRule>
  </conditionalFormatting>
  <conditionalFormatting sqref="B6">
    <cfRule type="duplicateValues" dxfId="16" priority="3"/>
    <cfRule type="duplicateValues" dxfId="15" priority="4"/>
    <cfRule type="duplicateValues" dxfId="14" priority="5"/>
  </conditionalFormatting>
  <conditionalFormatting sqref="B6">
    <cfRule type="duplicateValues" dxfId="13" priority="1"/>
    <cfRule type="duplicateValues" dxfId="12" priority="2"/>
  </conditionalFormatting>
  <pageMargins left="0.70866141732283461" right="0.70866141732283461" top="0.74803149606299213" bottom="0.74803149606299213" header="0.31496062992125984" footer="0.31496062992125984"/>
  <pageSetup scale="52" orientation="portrait" r:id="rId1"/>
  <headerFooter>
    <oddFooter>&amp;RF.OLIVA</oddFooter>
  </headerFooter>
  <rowBreaks count="3" manualBreakCount="3">
    <brk id="64" max="8" man="1"/>
    <brk id="121" max="8" man="1"/>
    <brk id="164" max="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'C:\Users\Usuario\Desktop\AUDITORIAS A SUPERVISIONES\FORMULARIOS DE AUDITORIAS DE CAMPO\[4VEHICULOS Y UNIFORMES V3..xlsx]Sheet1'!#REF!</xm:f>
          </x14:formula1>
          <xm:sqref>B28</xm:sqref>
        </x14:dataValidation>
        <x14:dataValidation type="list" allowBlank="1" showInputMessage="1" showErrorMessage="1" xr:uid="{00000000-0002-0000-0200-000001000000}">
          <x14:formula1>
            <xm:f>'C:\Users\oliva.francis\Desktop\2017\AUDITORIAS PERSONAL INTERNO\[CALIDAD DE LA INSTALACION 2017 V1..xlsx]LISTAS'!#REF!</xm:f>
          </x14:formula1>
          <xm:sqref>A8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FFC000"/>
  </sheetPr>
  <dimension ref="A1:I176"/>
  <sheetViews>
    <sheetView showGridLines="0" view="pageBreakPreview" zoomScale="85" zoomScaleNormal="85" zoomScaleSheetLayoutView="85" workbookViewId="0">
      <selection activeCell="B6" sqref="B6"/>
    </sheetView>
  </sheetViews>
  <sheetFormatPr baseColWidth="10" defaultColWidth="11.42578125" defaultRowHeight="15" x14ac:dyDescent="0.25"/>
  <cols>
    <col min="1" max="1" width="40.42578125" customWidth="1"/>
    <col min="2" max="2" width="17.28515625" bestFit="1" customWidth="1"/>
    <col min="3" max="3" width="19.5703125" customWidth="1"/>
    <col min="4" max="4" width="12.140625" customWidth="1"/>
  </cols>
  <sheetData>
    <row r="1" spans="1:7" ht="31.5" x14ac:dyDescent="0.5">
      <c r="E1" s="179"/>
      <c r="F1" s="179"/>
      <c r="G1" s="179"/>
    </row>
    <row r="2" spans="1:7" ht="17.25" x14ac:dyDescent="0.25">
      <c r="B2" s="1" t="s">
        <v>69</v>
      </c>
      <c r="C2" s="1"/>
      <c r="D2" s="1"/>
    </row>
    <row r="3" spans="1:7" ht="18" customHeight="1" x14ac:dyDescent="0.25">
      <c r="A3" s="4" t="s">
        <v>1</v>
      </c>
      <c r="B3" s="57" t="e">
        <f>VLOOKUP($B$6,DTH!$A:$CI,5,0)</f>
        <v>#N/A</v>
      </c>
      <c r="C3" s="54" t="s">
        <v>70</v>
      </c>
      <c r="D3" s="55" t="e">
        <f>VLOOKUP($B$6,DTH!$A:$CI,2,0)</f>
        <v>#N/A</v>
      </c>
    </row>
    <row r="4" spans="1:7" ht="18.75" customHeight="1" x14ac:dyDescent="0.25">
      <c r="A4" s="4" t="s">
        <v>3</v>
      </c>
      <c r="B4" s="57" t="s">
        <v>71</v>
      </c>
      <c r="C4" s="14"/>
    </row>
    <row r="5" spans="1:7" x14ac:dyDescent="0.25">
      <c r="A5" s="7" t="s">
        <v>4</v>
      </c>
      <c r="B5" s="57" t="e">
        <f>VLOOKUP($B$6,DTH!$A:$CI,6,0)</f>
        <v>#N/A</v>
      </c>
      <c r="C5" s="14"/>
    </row>
    <row r="6" spans="1:7" x14ac:dyDescent="0.25">
      <c r="A6" s="7" t="s">
        <v>97</v>
      </c>
      <c r="B6" s="158"/>
      <c r="C6" s="30"/>
    </row>
    <row r="7" spans="1:7" x14ac:dyDescent="0.25">
      <c r="A7" s="4" t="s">
        <v>6</v>
      </c>
      <c r="B7" s="57" t="e">
        <f>VLOOKUP($B$6,DTH!$A:$CI,7,0)</f>
        <v>#N/A</v>
      </c>
      <c r="C7" s="14"/>
    </row>
    <row r="8" spans="1:7" ht="11.25" customHeight="1" x14ac:dyDescent="0.25">
      <c r="A8" s="4" t="s">
        <v>5</v>
      </c>
      <c r="B8" s="57"/>
      <c r="C8" s="14"/>
      <c r="D8" s="14"/>
    </row>
    <row r="9" spans="1:7" x14ac:dyDescent="0.25">
      <c r="A9" s="56" t="s">
        <v>72</v>
      </c>
      <c r="B9" s="57" t="s">
        <v>73</v>
      </c>
      <c r="C9" s="14"/>
      <c r="D9" s="14"/>
    </row>
    <row r="10" spans="1:7" x14ac:dyDescent="0.25">
      <c r="A10" s="14"/>
      <c r="B10" s="14"/>
      <c r="C10" s="14"/>
      <c r="D10" s="14"/>
    </row>
    <row r="12" spans="1:7" x14ac:dyDescent="0.25">
      <c r="A12" s="54"/>
      <c r="B12" s="9"/>
    </row>
    <row r="13" spans="1:7" x14ac:dyDescent="0.25">
      <c r="A13" s="54" t="s">
        <v>7</v>
      </c>
      <c r="B13" s="161" t="e">
        <f>VLOOKUP($B$6,DTH!$A:$CI,8,0)</f>
        <v>#N/A</v>
      </c>
      <c r="C13" s="58" t="s">
        <v>8</v>
      </c>
      <c r="D13" s="59"/>
    </row>
    <row r="14" spans="1:7" x14ac:dyDescent="0.25">
      <c r="A14" s="54" t="s">
        <v>9</v>
      </c>
      <c r="B14" s="57" t="e">
        <f>VLOOKUP($B$6,DTH!$A:$CI,9,0)</f>
        <v>#N/A</v>
      </c>
      <c r="C14" s="58" t="s">
        <v>8</v>
      </c>
      <c r="D14" s="59"/>
    </row>
    <row r="15" spans="1:7" ht="15.75" thickBot="1" x14ac:dyDescent="0.3"/>
    <row r="16" spans="1:7" ht="20.25" thickBot="1" x14ac:dyDescent="0.35">
      <c r="A16" s="224" t="s">
        <v>73</v>
      </c>
      <c r="B16" s="225"/>
      <c r="C16" s="226"/>
    </row>
    <row r="17" spans="1:4" ht="15.75" thickBot="1" x14ac:dyDescent="0.3">
      <c r="A17" s="60" t="s">
        <v>74</v>
      </c>
      <c r="B17" s="61" t="s">
        <v>11</v>
      </c>
      <c r="C17" s="76" t="s">
        <v>75</v>
      </c>
      <c r="D17" s="76" t="s">
        <v>127</v>
      </c>
    </row>
    <row r="18" spans="1:4" ht="15" customHeight="1" x14ac:dyDescent="0.25">
      <c r="A18" s="62" t="s">
        <v>76</v>
      </c>
      <c r="B18" s="112">
        <v>3</v>
      </c>
      <c r="C18" s="115" t="e">
        <f>VLOOKUP($B$6,DTH!$A:$CI,31,0)</f>
        <v>#N/A</v>
      </c>
      <c r="D18" s="116" t="e">
        <f>IF(C18="si",5,IF(C18="no",0,IF(C18="n/a",5)))</f>
        <v>#N/A</v>
      </c>
    </row>
    <row r="19" spans="1:4" x14ac:dyDescent="0.25">
      <c r="A19" s="63" t="s">
        <v>77</v>
      </c>
      <c r="B19" s="113">
        <v>3</v>
      </c>
      <c r="C19" s="117" t="e">
        <f>VLOOKUP($B$6,DTH!$A:$CI,32,0)</f>
        <v>#N/A</v>
      </c>
      <c r="D19" s="118" t="e">
        <f>IF(C19="si",5,IF(C19="no",0,IF(C19="n/a",5)))</f>
        <v>#N/A</v>
      </c>
    </row>
    <row r="20" spans="1:4" x14ac:dyDescent="0.25">
      <c r="A20" s="63" t="s">
        <v>78</v>
      </c>
      <c r="B20" s="113">
        <v>5</v>
      </c>
      <c r="C20" s="117" t="e">
        <f>VLOOKUP($B$6,DTH!$A:$CI,33,0)</f>
        <v>#N/A</v>
      </c>
      <c r="D20" s="118" t="e">
        <f>IF(C20="si",10,IF(C20="no",0,IF(C20="n/a",10)))</f>
        <v>#N/A</v>
      </c>
    </row>
    <row r="21" spans="1:4" x14ac:dyDescent="0.25">
      <c r="A21" s="63" t="s">
        <v>79</v>
      </c>
      <c r="B21" s="113">
        <v>5</v>
      </c>
      <c r="C21" s="117" t="e">
        <f>VLOOKUP($B$6,DTH!$A:$CI,34,0)</f>
        <v>#N/A</v>
      </c>
      <c r="D21" s="118" t="e">
        <f>IF(C21="si",10,IF(C21="no",0,IF(C21="n/a",10)))</f>
        <v>#N/A</v>
      </c>
    </row>
    <row r="22" spans="1:4" ht="15" customHeight="1" x14ac:dyDescent="0.25">
      <c r="A22" s="63" t="s">
        <v>80</v>
      </c>
      <c r="B22" s="113">
        <v>3</v>
      </c>
      <c r="C22" s="117" t="e">
        <f>VLOOKUP($B$6,DTH!$A:$CI,35,0)</f>
        <v>#N/A</v>
      </c>
      <c r="D22" s="118" t="e">
        <f>IF(C22="si",5,IF(C22="no",0,IF(C22="n/a",5)))</f>
        <v>#N/A</v>
      </c>
    </row>
    <row r="23" spans="1:4" x14ac:dyDescent="0.25">
      <c r="A23" s="63" t="s">
        <v>81</v>
      </c>
      <c r="B23" s="113">
        <v>3</v>
      </c>
      <c r="C23" s="117" t="e">
        <f>VLOOKUP($B$6,DTH!$A:$CI,36,0)</f>
        <v>#N/A</v>
      </c>
      <c r="D23" s="118" t="e">
        <f>IF(C23="si",5,IF(C23="no",0,IF(C23="n/a",5)))</f>
        <v>#N/A</v>
      </c>
    </row>
    <row r="24" spans="1:4" x14ac:dyDescent="0.25">
      <c r="A24" s="63" t="s">
        <v>82</v>
      </c>
      <c r="B24" s="113">
        <v>50</v>
      </c>
      <c r="C24" s="117" t="e">
        <f>VLOOKUP($B$6,DTH!$A:$CI,37,0)</f>
        <v>#N/A</v>
      </c>
      <c r="D24" s="118" t="e">
        <f>IF(C24="si",25,IF(C24="no",0,IF(C24="n/a",25)))</f>
        <v>#N/A</v>
      </c>
    </row>
    <row r="25" spans="1:4" x14ac:dyDescent="0.25">
      <c r="A25" s="63" t="s">
        <v>83</v>
      </c>
      <c r="B25" s="113">
        <v>3</v>
      </c>
      <c r="C25" s="117" t="e">
        <f>VLOOKUP($B$6,DTH!$A:$CI,38,0)</f>
        <v>#N/A</v>
      </c>
      <c r="D25" s="118" t="e">
        <f>IF(C25="si",10,IF(C25="no",0,IF(C25="n/a",10)))</f>
        <v>#N/A</v>
      </c>
    </row>
    <row r="26" spans="1:4" x14ac:dyDescent="0.25">
      <c r="A26" s="63" t="s">
        <v>84</v>
      </c>
      <c r="B26" s="113">
        <v>5</v>
      </c>
      <c r="C26" s="117" t="e">
        <f>VLOOKUP($B$6,DTH!$A:$CI,39,0)</f>
        <v>#N/A</v>
      </c>
      <c r="D26" s="118" t="e">
        <f>IF(C26="si",5,IF(C26="no",0,IF(C26="n/a",5)))</f>
        <v>#N/A</v>
      </c>
    </row>
    <row r="27" spans="1:4" x14ac:dyDescent="0.25">
      <c r="A27" s="63" t="s">
        <v>85</v>
      </c>
      <c r="B27" s="113">
        <v>5</v>
      </c>
      <c r="C27" s="117" t="e">
        <f>VLOOKUP($B$6,DTH!$A:$CI,40,0)</f>
        <v>#N/A</v>
      </c>
      <c r="D27" s="118" t="e">
        <f>IF(C27="si",5,IF(C27="no",0,IF(C27="n/a",5)))</f>
        <v>#N/A</v>
      </c>
    </row>
    <row r="28" spans="1:4" x14ac:dyDescent="0.25">
      <c r="A28" s="63" t="s">
        <v>86</v>
      </c>
      <c r="B28" s="113">
        <v>2</v>
      </c>
      <c r="C28" s="117" t="e">
        <f>VLOOKUP($B$6,DTH!$A:$CI,41,0)</f>
        <v>#N/A</v>
      </c>
      <c r="D28" s="118" t="e">
        <f>IF(C28="si",2,IF(C28="no",0,IF(C28="n/a",2)))</f>
        <v>#N/A</v>
      </c>
    </row>
    <row r="29" spans="1:4" x14ac:dyDescent="0.25">
      <c r="A29" s="63" t="s">
        <v>87</v>
      </c>
      <c r="B29" s="113">
        <v>2</v>
      </c>
      <c r="C29" s="117" t="e">
        <f>VLOOKUP($B$6,DTH!$A:$CI,42,0)</f>
        <v>#N/A</v>
      </c>
      <c r="D29" s="118" t="e">
        <f>IF(C29="si",2,IF(C29="no",0,IF(C29="n/a",2)))</f>
        <v>#N/A</v>
      </c>
    </row>
    <row r="30" spans="1:4" x14ac:dyDescent="0.25">
      <c r="A30" s="63" t="s">
        <v>88</v>
      </c>
      <c r="B30" s="113">
        <v>2</v>
      </c>
      <c r="C30" s="117" t="e">
        <f>VLOOKUP($B$6,DTH!$A:$CI,43,0)</f>
        <v>#N/A</v>
      </c>
      <c r="D30" s="118" t="e">
        <f>IF(C30="si",2,IF(C30="no",0,IF(C30="n/a",2)))</f>
        <v>#N/A</v>
      </c>
    </row>
    <row r="31" spans="1:4" x14ac:dyDescent="0.25">
      <c r="A31" s="63" t="s">
        <v>89</v>
      </c>
      <c r="B31" s="113">
        <v>2</v>
      </c>
      <c r="C31" s="117" t="e">
        <f>VLOOKUP($B$6,DTH!$A:$CI,44,0)</f>
        <v>#N/A</v>
      </c>
      <c r="D31" s="118" t="e">
        <f>IF(C31="si",2,IF(C31="no",0,IF(C31="n/a",2)))</f>
        <v>#N/A</v>
      </c>
    </row>
    <row r="32" spans="1:4" x14ac:dyDescent="0.25">
      <c r="A32" s="63" t="s">
        <v>90</v>
      </c>
      <c r="B32" s="113">
        <v>2</v>
      </c>
      <c r="C32" s="117" t="e">
        <f>VLOOKUP($B$6,DTH!$A:$CI,45,0)</f>
        <v>#N/A</v>
      </c>
      <c r="D32" s="118" t="e">
        <f>IF(C32="si",2,IF(C32="no",0,IF(C32="n/a",2)))</f>
        <v>#N/A</v>
      </c>
    </row>
    <row r="33" spans="1:8" ht="15.75" thickBot="1" x14ac:dyDescent="0.3">
      <c r="A33" s="64" t="s">
        <v>91</v>
      </c>
      <c r="B33" s="114">
        <v>5</v>
      </c>
      <c r="C33" s="119" t="e">
        <f>VLOOKUP($B$6,DTH!$A:$CI,46,0)</f>
        <v>#N/A</v>
      </c>
      <c r="D33" s="120" t="e">
        <f>IF(C33="si",5,IF(C33="no",0,IF(C33="n/a",5)))</f>
        <v>#N/A</v>
      </c>
    </row>
    <row r="34" spans="1:8" ht="16.5" thickBot="1" x14ac:dyDescent="0.3">
      <c r="A34" s="65" t="s">
        <v>53</v>
      </c>
      <c r="B34" s="121">
        <f>SUM(B18:B33)</f>
        <v>100</v>
      </c>
      <c r="C34" s="89"/>
      <c r="D34" s="122" t="e">
        <f>SUM(D18:D33)</f>
        <v>#N/A</v>
      </c>
    </row>
    <row r="35" spans="1:8" x14ac:dyDescent="0.25">
      <c r="A35" s="66"/>
      <c r="B35" s="67"/>
    </row>
    <row r="36" spans="1:8" x14ac:dyDescent="0.25">
      <c r="A36" s="73"/>
      <c r="B36" s="82"/>
    </row>
    <row r="37" spans="1:8" x14ac:dyDescent="0.25">
      <c r="A37" s="73"/>
      <c r="B37" s="82"/>
    </row>
    <row r="38" spans="1:8" x14ac:dyDescent="0.25">
      <c r="A38" s="148" t="s">
        <v>39</v>
      </c>
      <c r="B38" s="27" t="s">
        <v>151</v>
      </c>
      <c r="C38" s="24"/>
      <c r="D38" s="27" t="s">
        <v>152</v>
      </c>
      <c r="E38" s="24"/>
      <c r="F38" s="24"/>
      <c r="G38" s="27" t="s">
        <v>153</v>
      </c>
      <c r="H38" s="89"/>
    </row>
    <row r="39" spans="1:8" x14ac:dyDescent="0.25">
      <c r="A39" s="28"/>
      <c r="B39" s="26"/>
      <c r="C39" s="29"/>
      <c r="D39" s="29"/>
      <c r="E39" s="24"/>
      <c r="H39" s="89"/>
    </row>
    <row r="40" spans="1:8" x14ac:dyDescent="0.25">
      <c r="A40" s="149" t="s">
        <v>154</v>
      </c>
      <c r="B40" s="149" t="s">
        <v>155</v>
      </c>
      <c r="C40" s="24"/>
      <c r="D40" s="149" t="s">
        <v>156</v>
      </c>
      <c r="E40" s="24"/>
      <c r="F40" s="24"/>
      <c r="G40" s="149" t="s">
        <v>157</v>
      </c>
      <c r="H40" s="89"/>
    </row>
    <row r="41" spans="1:8" x14ac:dyDescent="0.25">
      <c r="A41" s="150"/>
      <c r="B41" s="26"/>
      <c r="C41" s="150"/>
      <c r="D41" s="24"/>
      <c r="F41" s="150"/>
      <c r="G41" s="24"/>
    </row>
    <row r="47" spans="1:8" ht="31.5" x14ac:dyDescent="0.5">
      <c r="E47" s="223"/>
      <c r="F47" s="223"/>
    </row>
    <row r="49" spans="2:7" x14ac:dyDescent="0.25">
      <c r="B49" s="160" t="e">
        <f>VLOOKUP($B$6,DTH!$A:$CI,64,0)</f>
        <v>#N/A</v>
      </c>
      <c r="C49" s="89"/>
      <c r="G49" s="159" t="e">
        <f>HYPERLINK(B49,"Abrir Imagen")</f>
        <v>#N/A</v>
      </c>
    </row>
    <row r="93" spans="4:9" x14ac:dyDescent="0.25">
      <c r="D93" s="74"/>
    </row>
    <row r="94" spans="4:9" x14ac:dyDescent="0.25">
      <c r="D94" s="74"/>
    </row>
    <row r="95" spans="4:9" ht="31.5" x14ac:dyDescent="0.5">
      <c r="D95" s="74"/>
      <c r="H95" s="133"/>
      <c r="I95" s="133"/>
    </row>
    <row r="96" spans="4:9" x14ac:dyDescent="0.25">
      <c r="D96" s="74"/>
    </row>
    <row r="97" spans="2:7" x14ac:dyDescent="0.25">
      <c r="D97" s="74"/>
    </row>
    <row r="98" spans="2:7" x14ac:dyDescent="0.25">
      <c r="B98" s="160" t="e">
        <f>VLOOKUP($B$6,DTH!$A:$CI,65,0)</f>
        <v>#N/A</v>
      </c>
      <c r="C98" s="89"/>
      <c r="G98" s="159" t="e">
        <f>HYPERLINK(B98,"Abrir Imagen")</f>
        <v>#N/A</v>
      </c>
    </row>
    <row r="99" spans="2:7" x14ac:dyDescent="0.25">
      <c r="D99" s="74"/>
    </row>
    <row r="100" spans="2:7" x14ac:dyDescent="0.25">
      <c r="D100" s="74"/>
    </row>
    <row r="101" spans="2:7" x14ac:dyDescent="0.25">
      <c r="D101" s="75"/>
    </row>
    <row r="102" spans="2:7" x14ac:dyDescent="0.25">
      <c r="D102" s="75"/>
    </row>
    <row r="103" spans="2:7" x14ac:dyDescent="0.25">
      <c r="D103" s="75"/>
    </row>
    <row r="104" spans="2:7" x14ac:dyDescent="0.25">
      <c r="D104" s="75"/>
    </row>
    <row r="105" spans="2:7" x14ac:dyDescent="0.25">
      <c r="D105" s="75"/>
    </row>
    <row r="106" spans="2:7" x14ac:dyDescent="0.25">
      <c r="D106" s="75"/>
    </row>
    <row r="107" spans="2:7" x14ac:dyDescent="0.25">
      <c r="D107" s="75"/>
    </row>
    <row r="108" spans="2:7" x14ac:dyDescent="0.25">
      <c r="D108" s="75"/>
    </row>
    <row r="109" spans="2:7" x14ac:dyDescent="0.25">
      <c r="D109" s="75"/>
    </row>
    <row r="110" spans="2:7" x14ac:dyDescent="0.25">
      <c r="D110" s="75"/>
    </row>
    <row r="111" spans="2:7" x14ac:dyDescent="0.25">
      <c r="D111" s="75"/>
    </row>
    <row r="112" spans="2:7" x14ac:dyDescent="0.25">
      <c r="D112" s="75"/>
    </row>
    <row r="113" spans="4:4" x14ac:dyDescent="0.25">
      <c r="D113" s="75"/>
    </row>
    <row r="114" spans="4:4" x14ac:dyDescent="0.25">
      <c r="D114" s="75"/>
    </row>
    <row r="115" spans="4:4" x14ac:dyDescent="0.25">
      <c r="D115" s="75"/>
    </row>
    <row r="116" spans="4:4" x14ac:dyDescent="0.25">
      <c r="D116" s="75"/>
    </row>
    <row r="117" spans="4:4" x14ac:dyDescent="0.25">
      <c r="D117" s="75"/>
    </row>
    <row r="118" spans="4:4" x14ac:dyDescent="0.25">
      <c r="D118" s="75"/>
    </row>
    <row r="119" spans="4:4" x14ac:dyDescent="0.25">
      <c r="D119" s="75"/>
    </row>
    <row r="120" spans="4:4" x14ac:dyDescent="0.25">
      <c r="D120" s="75"/>
    </row>
    <row r="121" spans="4:4" x14ac:dyDescent="0.25">
      <c r="D121" s="75"/>
    </row>
    <row r="122" spans="4:4" x14ac:dyDescent="0.25">
      <c r="D122" s="75"/>
    </row>
    <row r="123" spans="4:4" x14ac:dyDescent="0.25">
      <c r="D123" s="75"/>
    </row>
    <row r="124" spans="4:4" x14ac:dyDescent="0.25">
      <c r="D124" s="75"/>
    </row>
    <row r="125" spans="4:4" x14ac:dyDescent="0.25">
      <c r="D125" s="75"/>
    </row>
    <row r="126" spans="4:4" x14ac:dyDescent="0.25">
      <c r="D126" s="75"/>
    </row>
    <row r="127" spans="4:4" x14ac:dyDescent="0.25">
      <c r="D127" s="75"/>
    </row>
    <row r="128" spans="4:4" x14ac:dyDescent="0.25">
      <c r="D128" s="75"/>
    </row>
    <row r="129" spans="2:9" x14ac:dyDescent="0.25">
      <c r="D129" s="75"/>
    </row>
    <row r="130" spans="2:9" x14ac:dyDescent="0.25">
      <c r="D130" s="75"/>
    </row>
    <row r="131" spans="2:9" x14ac:dyDescent="0.25">
      <c r="D131" s="75"/>
    </row>
    <row r="132" spans="2:9" x14ac:dyDescent="0.25">
      <c r="D132" s="75"/>
    </row>
    <row r="133" spans="2:9" x14ac:dyDescent="0.25">
      <c r="D133" s="75"/>
    </row>
    <row r="134" spans="2:9" x14ac:dyDescent="0.25">
      <c r="D134" s="75"/>
    </row>
    <row r="135" spans="2:9" x14ac:dyDescent="0.25">
      <c r="D135" s="75"/>
    </row>
    <row r="136" spans="2:9" x14ac:dyDescent="0.25">
      <c r="D136" s="74"/>
    </row>
    <row r="137" spans="2:9" ht="31.5" x14ac:dyDescent="0.5">
      <c r="D137" s="74"/>
      <c r="H137" s="133"/>
      <c r="I137" s="133"/>
    </row>
    <row r="138" spans="2:9" x14ac:dyDescent="0.25">
      <c r="D138" s="74"/>
    </row>
    <row r="139" spans="2:9" x14ac:dyDescent="0.25">
      <c r="D139" s="74"/>
    </row>
    <row r="140" spans="2:9" x14ac:dyDescent="0.25">
      <c r="B140" s="160" t="e">
        <f>VLOOKUP($B$6,DTH!$A:$CI,66,0)</f>
        <v>#N/A</v>
      </c>
      <c r="C140" s="89"/>
      <c r="G140" s="159" t="e">
        <f>HYPERLINK(B140,"Abrir Imagen")</f>
        <v>#N/A</v>
      </c>
    </row>
    <row r="141" spans="2:9" x14ac:dyDescent="0.25">
      <c r="D141" s="74"/>
    </row>
    <row r="142" spans="2:9" x14ac:dyDescent="0.25">
      <c r="D142" s="74"/>
    </row>
    <row r="143" spans="2:9" x14ac:dyDescent="0.25">
      <c r="D143" s="75"/>
    </row>
    <row r="144" spans="2:9" x14ac:dyDescent="0.25">
      <c r="D144" s="75"/>
    </row>
    <row r="145" spans="4:4" x14ac:dyDescent="0.25">
      <c r="D145" s="75"/>
    </row>
    <row r="146" spans="4:4" x14ac:dyDescent="0.25">
      <c r="D146" s="75"/>
    </row>
    <row r="147" spans="4:4" x14ac:dyDescent="0.25">
      <c r="D147" s="75"/>
    </row>
    <row r="148" spans="4:4" x14ac:dyDescent="0.25">
      <c r="D148" s="75"/>
    </row>
    <row r="149" spans="4:4" x14ac:dyDescent="0.25">
      <c r="D149" s="75"/>
    </row>
    <row r="150" spans="4:4" x14ac:dyDescent="0.25">
      <c r="D150" s="75"/>
    </row>
    <row r="151" spans="4:4" x14ac:dyDescent="0.25">
      <c r="D151" s="75"/>
    </row>
    <row r="152" spans="4:4" x14ac:dyDescent="0.25">
      <c r="D152" s="75"/>
    </row>
    <row r="153" spans="4:4" x14ac:dyDescent="0.25">
      <c r="D153" s="75"/>
    </row>
    <row r="154" spans="4:4" x14ac:dyDescent="0.25">
      <c r="D154" s="75"/>
    </row>
    <row r="155" spans="4:4" x14ac:dyDescent="0.25">
      <c r="D155" s="75"/>
    </row>
    <row r="156" spans="4:4" x14ac:dyDescent="0.25">
      <c r="D156" s="75"/>
    </row>
    <row r="157" spans="4:4" x14ac:dyDescent="0.25">
      <c r="D157" s="75"/>
    </row>
    <row r="158" spans="4:4" x14ac:dyDescent="0.25">
      <c r="D158" s="75"/>
    </row>
    <row r="159" spans="4:4" x14ac:dyDescent="0.25">
      <c r="D159" s="75"/>
    </row>
    <row r="160" spans="4:4" x14ac:dyDescent="0.25">
      <c r="D160" s="75"/>
    </row>
    <row r="161" spans="4:4" x14ac:dyDescent="0.25">
      <c r="D161" s="75"/>
    </row>
    <row r="162" spans="4:4" x14ac:dyDescent="0.25">
      <c r="D162" s="75"/>
    </row>
    <row r="163" spans="4:4" x14ac:dyDescent="0.25">
      <c r="D163" s="75"/>
    </row>
    <row r="164" spans="4:4" x14ac:dyDescent="0.25">
      <c r="D164" s="75"/>
    </row>
    <row r="165" spans="4:4" x14ac:dyDescent="0.25">
      <c r="D165" s="75"/>
    </row>
    <row r="166" spans="4:4" x14ac:dyDescent="0.25">
      <c r="D166" s="75"/>
    </row>
    <row r="167" spans="4:4" x14ac:dyDescent="0.25">
      <c r="D167" s="75"/>
    </row>
    <row r="168" spans="4:4" x14ac:dyDescent="0.25">
      <c r="D168" s="75"/>
    </row>
    <row r="169" spans="4:4" x14ac:dyDescent="0.25">
      <c r="D169" s="75"/>
    </row>
    <row r="170" spans="4:4" x14ac:dyDescent="0.25">
      <c r="D170" s="75"/>
    </row>
    <row r="171" spans="4:4" x14ac:dyDescent="0.25">
      <c r="D171" s="75"/>
    </row>
    <row r="172" spans="4:4" x14ac:dyDescent="0.25">
      <c r="D172" s="75"/>
    </row>
    <row r="173" spans="4:4" x14ac:dyDescent="0.25">
      <c r="D173" s="75"/>
    </row>
    <row r="174" spans="4:4" x14ac:dyDescent="0.25">
      <c r="D174" s="75"/>
    </row>
    <row r="175" spans="4:4" x14ac:dyDescent="0.25">
      <c r="D175" s="75"/>
    </row>
    <row r="176" spans="4:4" x14ac:dyDescent="0.25">
      <c r="D176" s="75"/>
    </row>
  </sheetData>
  <mergeCells count="3">
    <mergeCell ref="E1:G1"/>
    <mergeCell ref="E47:F47"/>
    <mergeCell ref="A16:C16"/>
  </mergeCells>
  <conditionalFormatting sqref="C18:C33">
    <cfRule type="containsText" dxfId="11" priority="6" operator="containsText" text="NO">
      <formula>NOT(ISERROR(SEARCH("NO",C18)))</formula>
    </cfRule>
  </conditionalFormatting>
  <conditionalFormatting sqref="B6">
    <cfRule type="duplicateValues" dxfId="10" priority="3"/>
    <cfRule type="duplicateValues" dxfId="9" priority="4"/>
    <cfRule type="duplicateValues" dxfId="8" priority="5"/>
  </conditionalFormatting>
  <conditionalFormatting sqref="B6">
    <cfRule type="duplicateValues" dxfId="7" priority="1"/>
    <cfRule type="duplicateValues" dxfId="6" priority="2"/>
  </conditionalFormatting>
  <pageMargins left="0.70866141732283472" right="0.70866141732283472" top="0.74803149606299213" bottom="0.74803149606299213" header="0.31496062992125984" footer="0.31496062992125984"/>
  <pageSetup scale="65" orientation="portrait" r:id="rId1"/>
  <headerFooter>
    <oddFooter>&amp;RF.OLIVA</oddFooter>
  </headerFooter>
  <rowBreaks count="3" manualBreakCount="3">
    <brk id="44" max="7" man="1"/>
    <brk id="92" max="7" man="1"/>
    <brk id="135" max="7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'C:\Users\oliva.francis\Desktop\2017\AUDITORIAS PERSONAL INTERNO\[CALIDAD DE LA INSTALACION 2017 V1..xlsx]LISTAS'!#REF!</xm:f>
          </x14:formula1>
          <xm:sqref>A8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DTH</vt:lpstr>
      <vt:lpstr>CALTEC DTH</vt:lpstr>
      <vt:lpstr>VUC DTH</vt:lpstr>
      <vt:lpstr>TOOLS DTH</vt:lpstr>
      <vt:lpstr>'CALTEC DTH'!Área_de_impresión</vt:lpstr>
      <vt:lpstr>'TOOLS DTH'!Área_de_impresión</vt:lpstr>
      <vt:lpstr>'VUC DTH'!Área_de_impresión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Salazar</dc:creator>
  <cp:lastModifiedBy>Josue Lima</cp:lastModifiedBy>
  <cp:lastPrinted>2022-07-07T22:14:52Z</cp:lastPrinted>
  <dcterms:created xsi:type="dcterms:W3CDTF">2018-04-17T23:29:29Z</dcterms:created>
  <dcterms:modified xsi:type="dcterms:W3CDTF">2023-07-11T00:31:11Z</dcterms:modified>
</cp:coreProperties>
</file>