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ma1\Downloads\ciccsa\"/>
    </mc:Choice>
  </mc:AlternateContent>
  <xr:revisionPtr revIDLastSave="0" documentId="13_ncr:1_{6C4D2F31-BC29-4115-9B09-D046EEEE4422}" xr6:coauthVersionLast="47" xr6:coauthVersionMax="47" xr10:uidLastSave="{00000000-0000-0000-0000-000000000000}"/>
  <bookViews>
    <workbookView xWindow="-120" yWindow="-120" windowWidth="29040" windowHeight="15840" tabRatio="705" xr2:uid="{00000000-000D-0000-FFFF-FFFF00000000}"/>
  </bookViews>
  <sheets>
    <sheet name="GPON" sheetId="21" r:id="rId1"/>
    <sheet name="CALTEC GPON" sheetId="19" r:id="rId2"/>
    <sheet name="TOOLS GPON" sheetId="14" r:id="rId3"/>
    <sheet name="VUC GPON" sheetId="20" r:id="rId4"/>
  </sheets>
  <externalReferences>
    <externalReference r:id="rId5"/>
  </externalReferences>
  <definedNames>
    <definedName name="_xlnm._FilterDatabase" localSheetId="0" hidden="1">GPON!$A$2:$BS$113</definedName>
    <definedName name="_xlnm.Print_Area" localSheetId="1">'CALTEC GPON'!$A$1:$G$192</definedName>
    <definedName name="_xlnm.Print_Area" localSheetId="2">'TOOLS GPON'!$A$1:$H$244</definedName>
    <definedName name="_xlnm.Print_Area" localSheetId="3">'VUC GPON'!$A$1:$H$285</definedName>
    <definedName name="TABLA_ORIGEN" localSheetId="0">GPON!$A:$BS</definedName>
    <definedName name="TABLA_ORIGEN">GPON!$A:$BS</definedName>
  </definedNames>
  <calcPr calcId="181029"/>
</workbook>
</file>

<file path=xl/calcChain.xml><?xml version="1.0" encoding="utf-8"?>
<calcChain xmlns="http://schemas.openxmlformats.org/spreadsheetml/2006/main">
  <c r="B40" i="19" l="1"/>
  <c r="B204" i="14" l="1"/>
  <c r="B155" i="14"/>
  <c r="B104" i="14"/>
  <c r="B48" i="14"/>
  <c r="C32" i="14" l="1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B245" i="20"/>
  <c r="B196" i="20"/>
  <c r="B145" i="20"/>
  <c r="B89" i="20"/>
  <c r="C43" i="20"/>
  <c r="C42" i="20"/>
  <c r="C41" i="20"/>
  <c r="C39" i="20"/>
  <c r="C40" i="20"/>
  <c r="C38" i="20"/>
  <c r="C26" i="20"/>
  <c r="C25" i="20"/>
  <c r="C24" i="20"/>
  <c r="C23" i="20"/>
  <c r="C22" i="20"/>
  <c r="C21" i="20"/>
  <c r="C20" i="20"/>
  <c r="C19" i="20"/>
  <c r="C18" i="20"/>
  <c r="C17" i="20"/>
  <c r="C16" i="20"/>
  <c r="B151" i="19"/>
  <c r="B102" i="19"/>
  <c r="B55" i="19"/>
  <c r="B33" i="14" l="1"/>
  <c r="BR4" i="21" l="1"/>
  <c r="BR5" i="21"/>
  <c r="BR6" i="21"/>
  <c r="BR7" i="21"/>
  <c r="BR8" i="21"/>
  <c r="BR9" i="21"/>
  <c r="BR10" i="21"/>
  <c r="BR11" i="21"/>
  <c r="BR12" i="21"/>
  <c r="BR13" i="21"/>
  <c r="BR14" i="21"/>
  <c r="BR15" i="21"/>
  <c r="BR16" i="21"/>
  <c r="BR17" i="21"/>
  <c r="BR18" i="21"/>
  <c r="BR19" i="21"/>
  <c r="BR20" i="21"/>
  <c r="BR21" i="21"/>
  <c r="BR22" i="21"/>
  <c r="BR23" i="21"/>
  <c r="BR24" i="21"/>
  <c r="BR25" i="21"/>
  <c r="BR26" i="21"/>
  <c r="BR27" i="21"/>
  <c r="BR28" i="21"/>
  <c r="BR29" i="21"/>
  <c r="BR30" i="21"/>
  <c r="BR31" i="21"/>
  <c r="BR32" i="21"/>
  <c r="BR33" i="21"/>
  <c r="BR34" i="21"/>
  <c r="BR35" i="21"/>
  <c r="BR36" i="21"/>
  <c r="BR37" i="21"/>
  <c r="BR38" i="21"/>
  <c r="BR39" i="21"/>
  <c r="BR40" i="21"/>
  <c r="BR41" i="21"/>
  <c r="BR42" i="21"/>
  <c r="BR43" i="21"/>
  <c r="BR44" i="21"/>
  <c r="BR45" i="21"/>
  <c r="BR46" i="21"/>
  <c r="BR47" i="21"/>
  <c r="BR48" i="21"/>
  <c r="BR49" i="21"/>
  <c r="BR50" i="21"/>
  <c r="BR51" i="21"/>
  <c r="BR52" i="21"/>
  <c r="BR53" i="21"/>
  <c r="BR54" i="21"/>
  <c r="BR55" i="21"/>
  <c r="BR56" i="21"/>
  <c r="BR57" i="21"/>
  <c r="BR58" i="21"/>
  <c r="BR59" i="21"/>
  <c r="BR60" i="21"/>
  <c r="BR61" i="21"/>
  <c r="BR62" i="21"/>
  <c r="BR63" i="21"/>
  <c r="BR64" i="21"/>
  <c r="BR65" i="21"/>
  <c r="BR66" i="21"/>
  <c r="BR67" i="21"/>
  <c r="BR68" i="21"/>
  <c r="BR69" i="21"/>
  <c r="BR70" i="21"/>
  <c r="BR71" i="21"/>
  <c r="BR72" i="21"/>
  <c r="BR73" i="21"/>
  <c r="BR74" i="21"/>
  <c r="BR75" i="21"/>
  <c r="BR76" i="21"/>
  <c r="BR77" i="21"/>
  <c r="BR78" i="21"/>
  <c r="BR79" i="21"/>
  <c r="BR80" i="21"/>
  <c r="BR81" i="21"/>
  <c r="BR82" i="21"/>
  <c r="BR83" i="21"/>
  <c r="BR84" i="21"/>
  <c r="BR85" i="21"/>
  <c r="BR86" i="21"/>
  <c r="BR87" i="21"/>
  <c r="BR88" i="21"/>
  <c r="BR89" i="21"/>
  <c r="BR90" i="21"/>
  <c r="BR91" i="21"/>
  <c r="BR92" i="21"/>
  <c r="BR93" i="21"/>
  <c r="BR94" i="21"/>
  <c r="BR95" i="21"/>
  <c r="BR96" i="21"/>
  <c r="BR97" i="21"/>
  <c r="BR98" i="21"/>
  <c r="BR99" i="21"/>
  <c r="BR100" i="21"/>
  <c r="BR101" i="21"/>
  <c r="BR102" i="21"/>
  <c r="BR103" i="21"/>
  <c r="BR104" i="21"/>
  <c r="BR105" i="21"/>
  <c r="BR106" i="21"/>
  <c r="BR107" i="21"/>
  <c r="BR108" i="21"/>
  <c r="BR109" i="21"/>
  <c r="BR110" i="21"/>
  <c r="BR111" i="21"/>
  <c r="BR112" i="21"/>
  <c r="BR113" i="21"/>
  <c r="BR3" i="21"/>
  <c r="E38" i="19" l="1"/>
  <c r="F38" i="19" s="1"/>
  <c r="E37" i="19"/>
  <c r="F37" i="19" s="1"/>
  <c r="E36" i="19"/>
  <c r="F36" i="19" s="1"/>
  <c r="E35" i="19"/>
  <c r="F35" i="19" s="1"/>
  <c r="E34" i="19"/>
  <c r="F34" i="19" s="1"/>
  <c r="E33" i="19"/>
  <c r="F33" i="19" s="1"/>
  <c r="E32" i="19"/>
  <c r="E29" i="19"/>
  <c r="F29" i="19" s="1"/>
  <c r="E28" i="19"/>
  <c r="F28" i="19" s="1"/>
  <c r="E27" i="19"/>
  <c r="F27" i="19" s="1"/>
  <c r="E26" i="19"/>
  <c r="E25" i="19"/>
  <c r="BO113" i="21" l="1"/>
  <c r="BO112" i="21"/>
  <c r="BO111" i="21"/>
  <c r="BO110" i="21"/>
  <c r="BO109" i="21"/>
  <c r="BO108" i="21"/>
  <c r="BO107" i="21"/>
  <c r="BO106" i="21"/>
  <c r="BO105" i="21"/>
  <c r="BO104" i="21"/>
  <c r="BO103" i="21"/>
  <c r="BO102" i="21"/>
  <c r="BO101" i="21"/>
  <c r="BO100" i="21"/>
  <c r="BO99" i="21"/>
  <c r="BO98" i="21"/>
  <c r="BO97" i="21"/>
  <c r="BO96" i="21"/>
  <c r="BO95" i="21"/>
  <c r="BO94" i="21"/>
  <c r="BO93" i="21"/>
  <c r="BO92" i="21"/>
  <c r="BO91" i="21"/>
  <c r="BO90" i="21"/>
  <c r="BO89" i="21"/>
  <c r="BO88" i="21"/>
  <c r="BO87" i="21"/>
  <c r="BO86" i="21"/>
  <c r="BO85" i="21"/>
  <c r="BO84" i="21"/>
  <c r="BO83" i="21"/>
  <c r="BO82" i="21"/>
  <c r="BO81" i="21"/>
  <c r="BO80" i="21"/>
  <c r="BO79" i="21"/>
  <c r="BO78" i="21"/>
  <c r="BO77" i="21"/>
  <c r="BO76" i="21"/>
  <c r="BO75" i="21"/>
  <c r="BO74" i="21"/>
  <c r="BO73" i="21"/>
  <c r="BO72" i="21"/>
  <c r="BO71" i="21"/>
  <c r="BO70" i="21"/>
  <c r="BO69" i="21"/>
  <c r="BO68" i="21"/>
  <c r="BO67" i="21"/>
  <c r="BO66" i="21"/>
  <c r="BO65" i="21"/>
  <c r="BO64" i="21"/>
  <c r="BO63" i="21"/>
  <c r="BO62" i="21"/>
  <c r="BO61" i="21"/>
  <c r="BO60" i="21"/>
  <c r="BO59" i="21"/>
  <c r="BO58" i="21"/>
  <c r="BO57" i="21"/>
  <c r="BO56" i="21"/>
  <c r="BO55" i="21"/>
  <c r="BO54" i="21"/>
  <c r="BO53" i="21"/>
  <c r="BO52" i="21"/>
  <c r="BO51" i="21"/>
  <c r="BO50" i="21"/>
  <c r="BO49" i="21"/>
  <c r="BO48" i="21"/>
  <c r="BO47" i="21"/>
  <c r="BO46" i="21"/>
  <c r="BO45" i="21"/>
  <c r="BO44" i="21"/>
  <c r="BO43" i="21"/>
  <c r="BO42" i="21"/>
  <c r="BO41" i="21"/>
  <c r="BO40" i="21"/>
  <c r="BO39" i="21"/>
  <c r="BO38" i="21"/>
  <c r="BO37" i="21"/>
  <c r="BO36" i="21"/>
  <c r="BO35" i="21"/>
  <c r="BO34" i="21"/>
  <c r="BO33" i="21"/>
  <c r="BO32" i="21"/>
  <c r="BO31" i="21"/>
  <c r="BO30" i="21"/>
  <c r="BO29" i="21"/>
  <c r="BO28" i="21"/>
  <c r="BO27" i="21"/>
  <c r="BO26" i="21"/>
  <c r="BO25" i="21"/>
  <c r="BO24" i="21"/>
  <c r="BO23" i="21"/>
  <c r="BO22" i="21"/>
  <c r="BO21" i="21"/>
  <c r="BO20" i="21"/>
  <c r="BO19" i="21"/>
  <c r="BO18" i="21"/>
  <c r="BO17" i="21"/>
  <c r="BO16" i="21"/>
  <c r="BO15" i="21"/>
  <c r="BO14" i="21"/>
  <c r="BO13" i="21"/>
  <c r="BO12" i="21"/>
  <c r="BO11" i="21"/>
  <c r="BO10" i="21"/>
  <c r="BO9" i="21"/>
  <c r="BO8" i="21"/>
  <c r="BO7" i="21"/>
  <c r="BO6" i="21"/>
  <c r="BO5" i="21"/>
  <c r="BO4" i="21"/>
  <c r="BO3" i="21"/>
  <c r="BM113" i="21"/>
  <c r="BM112" i="21"/>
  <c r="BM111" i="21"/>
  <c r="BM110" i="21"/>
  <c r="BM109" i="21"/>
  <c r="BM108" i="21"/>
  <c r="BM107" i="21"/>
  <c r="BM106" i="21"/>
  <c r="BM105" i="21"/>
  <c r="BM104" i="21"/>
  <c r="BM103" i="21"/>
  <c r="BM102" i="21"/>
  <c r="BM101" i="21"/>
  <c r="BM100" i="21"/>
  <c r="BM99" i="21"/>
  <c r="BM98" i="21"/>
  <c r="BM97" i="21"/>
  <c r="BM96" i="21"/>
  <c r="BM95" i="21"/>
  <c r="BM94" i="21"/>
  <c r="BM93" i="21"/>
  <c r="BM92" i="21"/>
  <c r="BM91" i="21"/>
  <c r="BM90" i="21"/>
  <c r="BM89" i="21"/>
  <c r="BM88" i="21"/>
  <c r="BM87" i="21"/>
  <c r="BM86" i="21"/>
  <c r="BM85" i="21"/>
  <c r="BM84" i="21"/>
  <c r="BM83" i="21"/>
  <c r="BM82" i="21"/>
  <c r="BM81" i="21"/>
  <c r="BM80" i="21"/>
  <c r="BM79" i="21"/>
  <c r="BM78" i="21"/>
  <c r="BM77" i="21"/>
  <c r="BM76" i="21"/>
  <c r="BM75" i="21"/>
  <c r="BM74" i="21"/>
  <c r="BM73" i="21"/>
  <c r="BM72" i="21"/>
  <c r="BM71" i="21"/>
  <c r="BM70" i="21"/>
  <c r="BM69" i="21"/>
  <c r="BM68" i="21"/>
  <c r="BM67" i="21"/>
  <c r="BM66" i="21"/>
  <c r="BM65" i="21"/>
  <c r="BM64" i="21"/>
  <c r="BM63" i="21"/>
  <c r="BM62" i="21"/>
  <c r="BM61" i="21"/>
  <c r="BM60" i="21"/>
  <c r="BM59" i="21"/>
  <c r="BM58" i="21"/>
  <c r="BM57" i="21"/>
  <c r="BM56" i="21"/>
  <c r="BM55" i="21"/>
  <c r="BM54" i="21"/>
  <c r="BM53" i="21"/>
  <c r="BM52" i="21"/>
  <c r="BM51" i="21"/>
  <c r="BM50" i="21"/>
  <c r="BM49" i="21"/>
  <c r="BM48" i="21"/>
  <c r="BM47" i="21"/>
  <c r="BM46" i="21"/>
  <c r="BM45" i="21"/>
  <c r="BM44" i="21"/>
  <c r="BM43" i="21"/>
  <c r="BM42" i="21"/>
  <c r="BM41" i="21"/>
  <c r="BM40" i="21"/>
  <c r="BM39" i="21"/>
  <c r="BM38" i="21"/>
  <c r="BM37" i="21"/>
  <c r="BM36" i="21"/>
  <c r="BM35" i="21"/>
  <c r="BM34" i="21"/>
  <c r="BM33" i="21"/>
  <c r="BM32" i="21"/>
  <c r="BM31" i="21"/>
  <c r="BM30" i="21"/>
  <c r="BM29" i="21"/>
  <c r="BM28" i="21"/>
  <c r="BM27" i="21"/>
  <c r="BM26" i="21"/>
  <c r="BM25" i="21"/>
  <c r="BM24" i="21"/>
  <c r="BM23" i="21"/>
  <c r="BM22" i="21"/>
  <c r="BM21" i="21"/>
  <c r="BM20" i="21"/>
  <c r="BM19" i="21"/>
  <c r="BM18" i="21"/>
  <c r="BM17" i="21"/>
  <c r="BM16" i="21"/>
  <c r="BM15" i="21"/>
  <c r="BM14" i="21"/>
  <c r="BM13" i="21"/>
  <c r="BM12" i="21"/>
  <c r="BM11" i="21"/>
  <c r="BM10" i="21"/>
  <c r="BM9" i="21"/>
  <c r="BM8" i="21"/>
  <c r="BM7" i="21"/>
  <c r="BM6" i="21"/>
  <c r="BM5" i="21"/>
  <c r="BM4" i="21"/>
  <c r="BN113" i="21"/>
  <c r="BN112" i="21"/>
  <c r="BN111" i="21"/>
  <c r="BN110" i="21"/>
  <c r="BN109" i="21"/>
  <c r="BN108" i="21"/>
  <c r="BN107" i="21"/>
  <c r="BN106" i="21"/>
  <c r="BN105" i="21"/>
  <c r="BN104" i="21"/>
  <c r="BN103" i="21"/>
  <c r="BN102" i="21"/>
  <c r="BN101" i="21"/>
  <c r="BN100" i="21"/>
  <c r="BN99" i="21"/>
  <c r="BN98" i="21"/>
  <c r="BN97" i="21"/>
  <c r="BN96" i="21"/>
  <c r="BN95" i="21"/>
  <c r="BN94" i="21"/>
  <c r="BN93" i="21"/>
  <c r="BN92" i="21"/>
  <c r="BN91" i="21"/>
  <c r="BN90" i="21"/>
  <c r="BN89" i="21"/>
  <c r="BN88" i="21"/>
  <c r="BN87" i="21"/>
  <c r="BN86" i="21"/>
  <c r="BN85" i="21"/>
  <c r="BN84" i="21"/>
  <c r="BN83" i="21"/>
  <c r="BN82" i="21"/>
  <c r="BN81" i="21"/>
  <c r="BN80" i="21"/>
  <c r="BN79" i="21"/>
  <c r="BN78" i="21"/>
  <c r="BN77" i="21"/>
  <c r="BN76" i="21"/>
  <c r="BN75" i="21"/>
  <c r="BN74" i="21"/>
  <c r="BN73" i="21"/>
  <c r="BN72" i="21"/>
  <c r="BN71" i="21"/>
  <c r="BN70" i="21"/>
  <c r="BN69" i="21"/>
  <c r="BN68" i="21"/>
  <c r="BN67" i="21"/>
  <c r="BN66" i="21"/>
  <c r="BN65" i="21"/>
  <c r="BN64" i="21"/>
  <c r="BN63" i="21"/>
  <c r="BN62" i="21"/>
  <c r="BN61" i="21"/>
  <c r="BN60" i="21"/>
  <c r="BN59" i="21"/>
  <c r="BN58" i="21"/>
  <c r="BN57" i="21"/>
  <c r="BN56" i="21"/>
  <c r="BN55" i="21"/>
  <c r="BN54" i="21"/>
  <c r="BN53" i="21"/>
  <c r="BN52" i="21"/>
  <c r="BN51" i="21"/>
  <c r="BN50" i="21"/>
  <c r="BN49" i="21"/>
  <c r="BN48" i="21"/>
  <c r="BN47" i="21"/>
  <c r="BN46" i="21"/>
  <c r="BN45" i="21"/>
  <c r="BN44" i="21"/>
  <c r="BN43" i="21"/>
  <c r="BN42" i="21"/>
  <c r="BN41" i="21"/>
  <c r="BN40" i="21"/>
  <c r="BN39" i="21"/>
  <c r="BN38" i="21"/>
  <c r="BN37" i="21"/>
  <c r="BN36" i="21"/>
  <c r="BN35" i="21"/>
  <c r="BN34" i="21"/>
  <c r="BN33" i="21"/>
  <c r="BN32" i="21"/>
  <c r="BN31" i="21"/>
  <c r="BN30" i="21"/>
  <c r="BN29" i="21"/>
  <c r="BN28" i="21"/>
  <c r="BN27" i="21"/>
  <c r="BN26" i="21"/>
  <c r="BN25" i="21"/>
  <c r="BN24" i="21"/>
  <c r="BN23" i="21"/>
  <c r="BN22" i="21"/>
  <c r="BN21" i="21"/>
  <c r="BN20" i="21"/>
  <c r="BN19" i="21"/>
  <c r="BN18" i="21"/>
  <c r="BN17" i="21"/>
  <c r="BN16" i="21"/>
  <c r="BN15" i="21"/>
  <c r="BN14" i="21"/>
  <c r="BN13" i="21"/>
  <c r="BN12" i="21"/>
  <c r="BN11" i="21"/>
  <c r="BN10" i="21"/>
  <c r="BN9" i="21"/>
  <c r="BN8" i="21"/>
  <c r="BN7" i="21"/>
  <c r="BN6" i="21"/>
  <c r="BN5" i="21"/>
  <c r="BN4" i="21"/>
  <c r="BN3" i="21"/>
  <c r="BL113" i="21"/>
  <c r="BL112" i="21"/>
  <c r="BL111" i="21"/>
  <c r="BL110" i="21"/>
  <c r="BL109" i="21"/>
  <c r="BL108" i="21"/>
  <c r="BL107" i="21"/>
  <c r="BL106" i="21"/>
  <c r="BL105" i="21"/>
  <c r="BL104" i="21"/>
  <c r="BL103" i="21"/>
  <c r="BL102" i="21"/>
  <c r="BL101" i="21"/>
  <c r="BL100" i="21"/>
  <c r="BL99" i="21"/>
  <c r="BL98" i="21"/>
  <c r="BL97" i="21"/>
  <c r="BL96" i="21"/>
  <c r="BL95" i="21"/>
  <c r="BL94" i="21"/>
  <c r="BL93" i="21"/>
  <c r="BL92" i="21"/>
  <c r="BL91" i="21"/>
  <c r="BL90" i="21"/>
  <c r="BL89" i="21"/>
  <c r="BL88" i="21"/>
  <c r="BL87" i="21"/>
  <c r="BL86" i="21"/>
  <c r="BL85" i="21"/>
  <c r="BL84" i="21"/>
  <c r="BL83" i="21"/>
  <c r="BL82" i="21"/>
  <c r="BL81" i="21"/>
  <c r="BL80" i="21"/>
  <c r="BL79" i="21"/>
  <c r="BL78" i="21"/>
  <c r="BL77" i="21"/>
  <c r="BL76" i="21"/>
  <c r="BL75" i="21"/>
  <c r="BL74" i="21"/>
  <c r="BL73" i="21"/>
  <c r="BL72" i="21"/>
  <c r="BL71" i="21"/>
  <c r="BL70" i="21"/>
  <c r="BL69" i="21"/>
  <c r="BL68" i="21"/>
  <c r="BL67" i="21"/>
  <c r="BL66" i="21"/>
  <c r="BL65" i="21"/>
  <c r="BL64" i="21"/>
  <c r="BL63" i="21"/>
  <c r="BL62" i="21"/>
  <c r="BL61" i="21"/>
  <c r="BL60" i="21"/>
  <c r="BL59" i="21"/>
  <c r="BL58" i="21"/>
  <c r="BL57" i="21"/>
  <c r="BL56" i="21"/>
  <c r="BL55" i="21"/>
  <c r="BL54" i="21"/>
  <c r="BL53" i="21"/>
  <c r="BL52" i="21"/>
  <c r="BL51" i="21"/>
  <c r="BL50" i="21"/>
  <c r="BL49" i="21"/>
  <c r="BL48" i="21"/>
  <c r="BL47" i="21"/>
  <c r="BL46" i="21"/>
  <c r="BL45" i="21"/>
  <c r="BL44" i="21"/>
  <c r="BL43" i="21"/>
  <c r="BL42" i="21"/>
  <c r="BL41" i="21"/>
  <c r="BL40" i="21"/>
  <c r="BL39" i="21"/>
  <c r="BL38" i="21"/>
  <c r="BL37" i="21"/>
  <c r="BL36" i="21"/>
  <c r="BL35" i="21"/>
  <c r="BL34" i="21"/>
  <c r="BL33" i="21"/>
  <c r="BL32" i="21"/>
  <c r="BL31" i="21"/>
  <c r="BL30" i="21"/>
  <c r="BL29" i="21"/>
  <c r="BL28" i="21"/>
  <c r="BL27" i="21"/>
  <c r="BL26" i="21"/>
  <c r="BL25" i="21"/>
  <c r="BL24" i="21"/>
  <c r="BL23" i="21"/>
  <c r="BL22" i="21"/>
  <c r="BL21" i="21"/>
  <c r="BL20" i="21"/>
  <c r="BL19" i="21"/>
  <c r="BL18" i="21"/>
  <c r="BL17" i="21"/>
  <c r="BL16" i="21"/>
  <c r="BL15" i="21"/>
  <c r="BL14" i="21"/>
  <c r="BL13" i="21"/>
  <c r="BL12" i="21"/>
  <c r="BL11" i="21"/>
  <c r="BL10" i="21"/>
  <c r="BL9" i="21"/>
  <c r="BL8" i="21"/>
  <c r="BL7" i="21"/>
  <c r="BL6" i="21"/>
  <c r="BL5" i="21"/>
  <c r="BL4" i="21"/>
  <c r="BK113" i="21"/>
  <c r="BK112" i="21"/>
  <c r="BK111" i="21"/>
  <c r="BK110" i="21"/>
  <c r="BK109" i="21"/>
  <c r="BK108" i="21"/>
  <c r="BK107" i="21"/>
  <c r="BK106" i="21"/>
  <c r="BK105" i="21"/>
  <c r="BK104" i="21"/>
  <c r="BK103" i="21"/>
  <c r="BK102" i="21"/>
  <c r="BK101" i="21"/>
  <c r="BK100" i="21"/>
  <c r="BK99" i="21"/>
  <c r="BK98" i="21"/>
  <c r="BK97" i="21"/>
  <c r="BK96" i="21"/>
  <c r="BK95" i="21"/>
  <c r="BK94" i="21"/>
  <c r="BK93" i="21"/>
  <c r="BK92" i="21"/>
  <c r="BK91" i="21"/>
  <c r="BK90" i="21"/>
  <c r="BK89" i="21"/>
  <c r="BK88" i="21"/>
  <c r="BK87" i="21"/>
  <c r="BK86" i="21"/>
  <c r="BK85" i="21"/>
  <c r="BK84" i="21"/>
  <c r="BK83" i="21"/>
  <c r="BK82" i="21"/>
  <c r="BK81" i="21"/>
  <c r="BK80" i="21"/>
  <c r="BK79" i="21"/>
  <c r="BK78" i="21"/>
  <c r="BK77" i="21"/>
  <c r="BK76" i="21"/>
  <c r="BK75" i="21"/>
  <c r="BK74" i="21"/>
  <c r="BK73" i="21"/>
  <c r="BK72" i="21"/>
  <c r="BK71" i="21"/>
  <c r="BK70" i="21"/>
  <c r="BK69" i="21"/>
  <c r="BK68" i="21"/>
  <c r="BK67" i="21"/>
  <c r="BK66" i="21"/>
  <c r="BK65" i="21"/>
  <c r="BK64" i="21"/>
  <c r="BK63" i="21"/>
  <c r="BK62" i="21"/>
  <c r="BK61" i="21"/>
  <c r="BK60" i="21"/>
  <c r="BK59" i="21"/>
  <c r="BK58" i="21"/>
  <c r="BK57" i="21"/>
  <c r="BK56" i="21"/>
  <c r="BK55" i="21"/>
  <c r="BK54" i="21"/>
  <c r="BK53" i="21"/>
  <c r="BK52" i="21"/>
  <c r="BK51" i="21"/>
  <c r="BK50" i="21"/>
  <c r="BK49" i="21"/>
  <c r="BK48" i="21"/>
  <c r="BK47" i="21"/>
  <c r="BK46" i="21"/>
  <c r="BK45" i="21"/>
  <c r="BK44" i="21"/>
  <c r="BK43" i="21"/>
  <c r="BK42" i="21"/>
  <c r="BK41" i="21"/>
  <c r="BK40" i="21"/>
  <c r="BK39" i="21"/>
  <c r="BK38" i="21"/>
  <c r="BK37" i="21"/>
  <c r="BK36" i="21"/>
  <c r="BK35" i="21"/>
  <c r="BK34" i="21"/>
  <c r="BK33" i="21"/>
  <c r="BK32" i="21"/>
  <c r="BK31" i="21"/>
  <c r="BK30" i="21"/>
  <c r="BK29" i="21"/>
  <c r="BK28" i="21"/>
  <c r="BK27" i="21"/>
  <c r="BK26" i="21"/>
  <c r="BK25" i="21"/>
  <c r="BK24" i="21"/>
  <c r="BK23" i="21"/>
  <c r="BK22" i="21"/>
  <c r="BK21" i="21"/>
  <c r="BK20" i="21"/>
  <c r="BK19" i="21"/>
  <c r="BK18" i="21"/>
  <c r="BK17" i="21"/>
  <c r="BK16" i="21"/>
  <c r="BK15" i="21"/>
  <c r="BK14" i="21"/>
  <c r="BK13" i="21"/>
  <c r="BK12" i="21"/>
  <c r="BK11" i="21"/>
  <c r="BK10" i="21"/>
  <c r="BK9" i="21"/>
  <c r="BK8" i="21"/>
  <c r="BK7" i="21"/>
  <c r="BK6" i="21"/>
  <c r="BK5" i="21"/>
  <c r="BK4" i="21"/>
  <c r="B25" i="19" l="1"/>
  <c r="B15" i="19"/>
  <c r="B13" i="14" l="1"/>
  <c r="B7" i="14"/>
  <c r="D74" i="20" l="1"/>
  <c r="B65" i="20"/>
  <c r="B44" i="20"/>
  <c r="B27" i="20"/>
  <c r="D16" i="20" l="1"/>
  <c r="D20" i="20"/>
  <c r="D24" i="20"/>
  <c r="D17" i="20"/>
  <c r="D21" i="20"/>
  <c r="D25" i="20"/>
  <c r="D18" i="20"/>
  <c r="D22" i="20"/>
  <c r="D26" i="20"/>
  <c r="D19" i="20"/>
  <c r="D23" i="20"/>
  <c r="B12" i="14"/>
  <c r="E204" i="14"/>
  <c r="D41" i="20"/>
  <c r="F89" i="20"/>
  <c r="E196" i="20"/>
  <c r="C69" i="20"/>
  <c r="C68" i="20"/>
  <c r="D42" i="19"/>
  <c r="C41" i="19"/>
  <c r="B12" i="20"/>
  <c r="B3" i="20"/>
  <c r="B5" i="14"/>
  <c r="E155" i="14"/>
  <c r="F48" i="14"/>
  <c r="D40" i="20"/>
  <c r="F145" i="20"/>
  <c r="B69" i="20"/>
  <c r="B68" i="20"/>
  <c r="C42" i="19"/>
  <c r="B41" i="19"/>
  <c r="B11" i="20"/>
  <c r="E3" i="19"/>
  <c r="B3" i="14"/>
  <c r="D43" i="20"/>
  <c r="D39" i="20"/>
  <c r="A68" i="20"/>
  <c r="A69" i="20"/>
  <c r="E151" i="19"/>
  <c r="B42" i="19"/>
  <c r="D40" i="19"/>
  <c r="B7" i="20"/>
  <c r="D3" i="20"/>
  <c r="D3" i="14"/>
  <c r="F104" i="14"/>
  <c r="D42" i="20"/>
  <c r="D38" i="20"/>
  <c r="E245" i="20"/>
  <c r="D69" i="20"/>
  <c r="D68" i="20"/>
  <c r="D41" i="19"/>
  <c r="C40" i="19"/>
  <c r="B5" i="20"/>
  <c r="E102" i="19"/>
  <c r="D55" i="19"/>
  <c r="F32" i="19"/>
  <c r="F26" i="19"/>
  <c r="F25" i="19"/>
  <c r="E15" i="19"/>
  <c r="C10" i="19"/>
  <c r="C9" i="19"/>
  <c r="B7" i="19"/>
  <c r="B5" i="19"/>
  <c r="B3" i="19"/>
  <c r="F15" i="19" l="1"/>
  <c r="F42" i="19" s="1"/>
  <c r="D44" i="20"/>
  <c r="D27" i="20"/>
  <c r="D17" i="14" l="1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ANTONIO GARCIA CARRERA</author>
  </authors>
  <commentList>
    <comment ref="C3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FRANCIS OLIVA:</t>
        </r>
        <r>
          <rPr>
            <sz val="9"/>
            <color indexed="81"/>
            <rFont val="Tahoma"/>
            <family val="2"/>
          </rPr>
          <t xml:space="preserve">
Negro s/m cableado externo o ductos
Blanco cableado interno
</t>
        </r>
      </text>
    </comment>
  </commentList>
</comments>
</file>

<file path=xl/sharedStrings.xml><?xml version="1.0" encoding="utf-8"?>
<sst xmlns="http://schemas.openxmlformats.org/spreadsheetml/2006/main" count="409" uniqueCount="143">
  <si>
    <t>Área operativa</t>
  </si>
  <si>
    <t>Nombre de técnico</t>
  </si>
  <si>
    <t>Nombre del supervisor</t>
  </si>
  <si>
    <t>Orden de servicio</t>
  </si>
  <si>
    <t>Evidencia fotográfica</t>
  </si>
  <si>
    <t>Segundo Archivo</t>
  </si>
  <si>
    <t>SI</t>
  </si>
  <si>
    <t>Herramienta</t>
  </si>
  <si>
    <t xml:space="preserve">Calidad Tecnica </t>
  </si>
  <si>
    <t>Marca temporal</t>
  </si>
  <si>
    <t>Puntuación</t>
  </si>
  <si>
    <t>FECHA</t>
  </si>
  <si>
    <t>Mes evaluado</t>
  </si>
  <si>
    <t>Gerencia</t>
  </si>
  <si>
    <t>Logotipo de empresa</t>
  </si>
  <si>
    <t>Carrocería</t>
  </si>
  <si>
    <t>Porta Escalera</t>
  </si>
  <si>
    <t>Estado de neumáticos</t>
  </si>
  <si>
    <t>Rotulado de unidad</t>
  </si>
  <si>
    <t>Orden y limpieza</t>
  </si>
  <si>
    <t>Uniforme</t>
  </si>
  <si>
    <t>Vehiculo</t>
  </si>
  <si>
    <t>Tercer Archivo</t>
  </si>
  <si>
    <t>Técnico Certificado Por Claro</t>
  </si>
  <si>
    <t>Cuarto Archivo</t>
  </si>
  <si>
    <t>Tecnico certificado</t>
  </si>
  <si>
    <t>Pais</t>
  </si>
  <si>
    <t>Contratista</t>
  </si>
  <si>
    <t>Area operativa</t>
  </si>
  <si>
    <t>Nombre del Técnico</t>
  </si>
  <si>
    <t>Codigo de Empleado</t>
  </si>
  <si>
    <t>Nombre del Supervisor Técnico</t>
  </si>
  <si>
    <t>AREA</t>
  </si>
  <si>
    <t>POND</t>
  </si>
  <si>
    <t>DESCRIPCION</t>
  </si>
  <si>
    <t>POND.</t>
  </si>
  <si>
    <t>Respuesta</t>
  </si>
  <si>
    <t>Observaciones</t>
  </si>
  <si>
    <t>Técnico Evaluado</t>
  </si>
  <si>
    <t>Puntos</t>
  </si>
  <si>
    <t>Tecnología</t>
  </si>
  <si>
    <t>UNIFORME</t>
  </si>
  <si>
    <t>Resultado</t>
  </si>
  <si>
    <t>TOTAL</t>
  </si>
  <si>
    <t>OBSERVACIONES</t>
  </si>
  <si>
    <t>APLICA</t>
  </si>
  <si>
    <t>VEHICULO</t>
  </si>
  <si>
    <t>MOTO</t>
  </si>
  <si>
    <t>Logotipo</t>
  </si>
  <si>
    <t>Estado de Carroceria</t>
  </si>
  <si>
    <t>Focos</t>
  </si>
  <si>
    <t>Parrilla</t>
  </si>
  <si>
    <t xml:space="preserve">Casco </t>
  </si>
  <si>
    <t>Pide Vía</t>
  </si>
  <si>
    <t>Luces Laterales</t>
  </si>
  <si>
    <t>Estado de las Llantas</t>
  </si>
  <si>
    <t>Stop Traseros</t>
  </si>
  <si>
    <t>Marca Y Modelo</t>
  </si>
  <si>
    <t>CERTIFICACION</t>
  </si>
  <si>
    <t>Tecnico Certificado Por Claro</t>
  </si>
  <si>
    <t>HFC</t>
  </si>
  <si>
    <t>Guatemala</t>
  </si>
  <si>
    <t>Orden de Servicio</t>
  </si>
  <si>
    <t>Fecha de Evaluacion</t>
  </si>
  <si>
    <t>Actividad:</t>
  </si>
  <si>
    <t>Descripción</t>
  </si>
  <si>
    <t>RESPUESTA</t>
  </si>
  <si>
    <t>Tecnologia</t>
  </si>
  <si>
    <t>supervisor</t>
  </si>
  <si>
    <t>No. SuperviSIon</t>
  </si>
  <si>
    <t xml:space="preserve"> Evaluador / Supervisor de Nacel</t>
  </si>
  <si>
    <t xml:space="preserve">                                         Visto bueno Jefatura de Instalaciones</t>
  </si>
  <si>
    <t xml:space="preserve">       Calidad Nacel</t>
  </si>
  <si>
    <t>FIRMA______________________</t>
  </si>
  <si>
    <t xml:space="preserve">   FIRMA_____________________</t>
  </si>
  <si>
    <t>FIRMA_________________________</t>
  </si>
  <si>
    <t xml:space="preserve">              FIRMA________________</t>
  </si>
  <si>
    <t xml:space="preserve"> Técnico Evaluado</t>
  </si>
  <si>
    <t xml:space="preserve">                    Evaluador / Supervisor de Nacel</t>
  </si>
  <si>
    <t>Visto bueno Jefatura de Instalaciones</t>
  </si>
  <si>
    <t xml:space="preserve">                               FIRMA_____________________</t>
  </si>
  <si>
    <t>Ubicación de puerto en base a red asignada</t>
  </si>
  <si>
    <t xml:space="preserve">Instalación Fibra en Infraestructura existente (Postes) </t>
  </si>
  <si>
    <t xml:space="preserve">Estetica general de la instalación (Cableado) </t>
  </si>
  <si>
    <t xml:space="preserve">Uso de conectores "nuevos", normados por Claro </t>
  </si>
  <si>
    <t xml:space="preserve">Nivel de potencia óptica en puerto asignado en NAP </t>
  </si>
  <si>
    <t xml:space="preserve">Nivel de potencia óptica en roseta óptica </t>
  </si>
  <si>
    <t>ACOMENTIDA</t>
  </si>
  <si>
    <t>ONT</t>
  </si>
  <si>
    <t xml:space="preserve">Colocación de roseta óptica </t>
  </si>
  <si>
    <t xml:space="preserve">Colocación de Patchcore en Roseta óptica /ONT </t>
  </si>
  <si>
    <t xml:space="preserve">Colocación de ONT en casa del cliente </t>
  </si>
  <si>
    <t xml:space="preserve">Nivel de potencia óptica en patch cord entrada ONT </t>
  </si>
  <si>
    <t xml:space="preserve">Medición de velocidad en base a lo solicitado por el cliente / Verificación de funcionamienteo de Internet (Velocidad contratada) / telefonía (funcionamiento) / TV (Paquetes contratados) </t>
  </si>
  <si>
    <t xml:space="preserve">Colocación de Cables UTP en ONT </t>
  </si>
  <si>
    <t xml:space="preserve">Colocación de STB en casa del Cliente </t>
  </si>
  <si>
    <t>Colocación de ONT en casa del cliente</t>
  </si>
  <si>
    <t>Nivel de potencia óptica en patch cord entrada ONT</t>
  </si>
  <si>
    <t>Medición de velocidad en base a lo solicitado por el cliente / Verificación de funcionamienteo de Internet (Velocidad contratada) / telefonía (funcionamiento) / TV (Paquetes contratados)</t>
  </si>
  <si>
    <t>Colocación de Cables UTP en ONT</t>
  </si>
  <si>
    <t>GPON</t>
  </si>
  <si>
    <t>NAP</t>
  </si>
  <si>
    <t>Uso de conectores "nuevos", normados por Claro</t>
  </si>
  <si>
    <t>Medidor de Potencia Optica</t>
  </si>
  <si>
    <t>Microscopio Optico</t>
  </si>
  <si>
    <t>Etiquetadora</t>
  </si>
  <si>
    <t>Tijera Para Cortar Kevlar</t>
  </si>
  <si>
    <t>Barreno Con Roto Martillo</t>
  </si>
  <si>
    <t>Cortadora FO Angulo Recto</t>
  </si>
  <si>
    <t>Peladora de F.O 3 En 1</t>
  </si>
  <si>
    <t>Cortadora de Buffer</t>
  </si>
  <si>
    <t>Kit de Limpieza Para Fibra Óptica</t>
  </si>
  <si>
    <t>Escalera de Fibra de Vidrio 20´</t>
  </si>
  <si>
    <t>Juego de destornilladores de Castigadera y Phillips</t>
  </si>
  <si>
    <t>Juego de Brocas Para Concreto Y Metal Diferentes Medidas (Incluir Broca Pasa Muro)</t>
  </si>
  <si>
    <t>Extension Electrica Calibre 12</t>
  </si>
  <si>
    <t>Guía Acerada 125' Con Dispensador</t>
  </si>
  <si>
    <t>Guía Pasa Cables de Fibra de Vidrio</t>
  </si>
  <si>
    <t>Gancho Para Levantar Tapaderas Pozo - Resultado</t>
  </si>
  <si>
    <t>CAMISA</t>
  </si>
  <si>
    <t>CASCO</t>
  </si>
  <si>
    <t>PANTALÓN</t>
  </si>
  <si>
    <t>CINTURÓN DE SEGURIDAD PARA AMARRE A POSTE</t>
  </si>
  <si>
    <t>BOTAS INDUSTRIALES</t>
  </si>
  <si>
    <t>GAFETE</t>
  </si>
  <si>
    <t>FAJA (CINCHO)</t>
  </si>
  <si>
    <t>CHALECO PREVENTIVO</t>
  </si>
  <si>
    <t>GUANTES DE CUERO</t>
  </si>
  <si>
    <t>CAPA IMPERMEABLE</t>
  </si>
  <si>
    <t>ASPECTO PERSONAL</t>
  </si>
  <si>
    <t>TECNICO SERTIFICADO</t>
  </si>
  <si>
    <t>** Evaluacion de Calidad Tecnica  Instalaciones GPON</t>
  </si>
  <si>
    <t>** EVALUACIÓN DE VEHICULOS Y UNIFORMES GPON</t>
  </si>
  <si>
    <t xml:space="preserve">                               ** Evaluacion de Auditoria de Herramienta GPON</t>
  </si>
  <si>
    <t>Junio</t>
  </si>
  <si>
    <t>GT METRO</t>
  </si>
  <si>
    <t>LOURDES</t>
  </si>
  <si>
    <t>Jeferson canahui</t>
  </si>
  <si>
    <t>Brayan Plateros</t>
  </si>
  <si>
    <t>No</t>
  </si>
  <si>
    <t>N/A</t>
  </si>
  <si>
    <t>https://drive.google.com/open?id=1vxNQiHqawCJVXwWabH84_-z2TixHlj01</t>
  </si>
  <si>
    <t>https://drive.google.com/open?id=15Uf337mEqMUnJzrjDSf4zBNLSreVAtvE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</si>
</sst>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i/>
      <sz val="10"/>
      <name val="Arial"/>
      <family val="2"/>
    </font>
    <font>
      <i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b/>
      <i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b/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Dot">
        <color auto="1"/>
      </top>
      <bottom/>
      <diagonal/>
    </border>
    <border>
      <left/>
      <right/>
      <top/>
      <bottom style="dashDotDot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9" fontId="6" fillId="0" borderId="0" applyFont="0" applyFill="0" applyBorder="0" applyAlignment="0" applyProtection="0"/>
    <xf numFmtId="0" fontId="21" fillId="0" borderId="0"/>
  </cellStyleXfs>
  <cellXfs count="246">
    <xf numFmtId="0" fontId="0" fillId="0" borderId="0" xfId="0"/>
    <xf numFmtId="0" fontId="12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4" fillId="0" borderId="0" xfId="0" applyFont="1" applyAlignment="1">
      <alignment horizontal="left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4" borderId="7" xfId="0" applyFont="1" applyFill="1" applyBorder="1" applyAlignment="1">
      <alignment horizontal="center"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9" fontId="15" fillId="4" borderId="7" xfId="3" applyFont="1" applyFill="1" applyBorder="1" applyAlignment="1">
      <alignment horizontal="center" vertical="center" wrapText="1"/>
    </xf>
    <xf numFmtId="0" fontId="14" fillId="0" borderId="0" xfId="0" applyFont="1"/>
    <xf numFmtId="0" fontId="12" fillId="0" borderId="1" xfId="0" applyFont="1" applyBorder="1" applyAlignment="1">
      <alignment horizontal="center"/>
    </xf>
    <xf numFmtId="0" fontId="22" fillId="0" borderId="0" xfId="0" applyFont="1"/>
    <xf numFmtId="0" fontId="23" fillId="0" borderId="0" xfId="0" applyFont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24" fillId="5" borderId="0" xfId="0" applyFont="1" applyFill="1" applyAlignment="1">
      <alignment horizontal="center" vertical="center" wrapText="1"/>
    </xf>
    <xf numFmtId="0" fontId="25" fillId="5" borderId="0" xfId="0" applyFont="1" applyFill="1" applyAlignment="1">
      <alignment horizontal="center" vertical="center" wrapText="1"/>
    </xf>
    <xf numFmtId="0" fontId="7" fillId="6" borderId="32" xfId="0" applyFont="1" applyFill="1" applyBorder="1" applyAlignment="1">
      <alignment horizontal="center" vertical="center" wrapText="1"/>
    </xf>
    <xf numFmtId="0" fontId="26" fillId="4" borderId="32" xfId="0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 wrapText="1"/>
    </xf>
    <xf numFmtId="0" fontId="27" fillId="5" borderId="1" xfId="0" applyFont="1" applyFill="1" applyBorder="1" applyAlignment="1">
      <alignment horizontal="left" vertical="center"/>
    </xf>
    <xf numFmtId="0" fontId="27" fillId="5" borderId="33" xfId="0" applyFont="1" applyFill="1" applyBorder="1" applyAlignment="1">
      <alignment horizontal="left" vertical="center"/>
    </xf>
    <xf numFmtId="1" fontId="17" fillId="0" borderId="2" xfId="0" applyNumberFormat="1" applyFont="1" applyBorder="1"/>
    <xf numFmtId="0" fontId="25" fillId="5" borderId="38" xfId="0" applyFont="1" applyFill="1" applyBorder="1" applyAlignment="1">
      <alignment horizontal="center" vertical="center" wrapText="1"/>
    </xf>
    <xf numFmtId="0" fontId="14" fillId="0" borderId="38" xfId="0" applyFont="1" applyBorder="1"/>
    <xf numFmtId="0" fontId="27" fillId="5" borderId="0" xfId="0" applyFont="1" applyFill="1" applyAlignment="1">
      <alignment horizontal="right" vertical="center"/>
    </xf>
    <xf numFmtId="0" fontId="27" fillId="0" borderId="32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5" fillId="5" borderId="39" xfId="0" applyFont="1" applyFill="1" applyBorder="1" applyAlignment="1">
      <alignment horizontal="center" vertical="center" wrapText="1"/>
    </xf>
    <xf numFmtId="0" fontId="14" fillId="0" borderId="39" xfId="0" applyFont="1" applyBorder="1"/>
    <xf numFmtId="0" fontId="21" fillId="0" borderId="0" xfId="0" applyFont="1" applyAlignment="1">
      <alignment horizontal="left" vertical="center" wrapText="1"/>
    </xf>
    <xf numFmtId="1" fontId="5" fillId="0" borderId="0" xfId="0" applyNumberFormat="1" applyFont="1" applyAlignment="1">
      <alignment horizontal="right" vertical="center" wrapText="1"/>
    </xf>
    <xf numFmtId="0" fontId="21" fillId="0" borderId="1" xfId="0" applyFont="1" applyBorder="1" applyAlignment="1">
      <alignment vertical="center" wrapText="1"/>
    </xf>
    <xf numFmtId="0" fontId="21" fillId="0" borderId="1" xfId="0" applyFont="1" applyBorder="1"/>
    <xf numFmtId="0" fontId="7" fillId="4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12" fillId="0" borderId="0" xfId="0" applyFont="1" applyAlignment="1">
      <alignment horizontal="left" vertical="center" wrapText="1"/>
    </xf>
    <xf numFmtId="0" fontId="7" fillId="4" borderId="29" xfId="2" applyFont="1" applyFill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5" fillId="4" borderId="7" xfId="2" applyFont="1" applyFill="1" applyBorder="1" applyAlignment="1">
      <alignment horizontal="center" vertical="center"/>
    </xf>
    <xf numFmtId="0" fontId="28" fillId="5" borderId="0" xfId="0" applyFont="1" applyFill="1" applyAlignment="1">
      <alignment horizontal="left" vertical="center"/>
    </xf>
    <xf numFmtId="0" fontId="12" fillId="0" borderId="4" xfId="0" applyFont="1" applyBorder="1" applyAlignment="1">
      <alignment horizontal="center"/>
    </xf>
    <xf numFmtId="0" fontId="34" fillId="0" borderId="29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/>
    </xf>
    <xf numFmtId="1" fontId="1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1" fontId="5" fillId="2" borderId="3" xfId="0" applyNumberFormat="1" applyFont="1" applyFill="1" applyBorder="1" applyAlignment="1">
      <alignment horizontal="center" vertical="center" wrapText="1"/>
    </xf>
    <xf numFmtId="1" fontId="5" fillId="2" borderId="4" xfId="0" applyNumberFormat="1" applyFont="1" applyFill="1" applyBorder="1" applyAlignment="1">
      <alignment horizontal="center" vertical="center" wrapText="1"/>
    </xf>
    <xf numFmtId="1" fontId="5" fillId="2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0" xfId="0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/>
    </xf>
    <xf numFmtId="0" fontId="29" fillId="0" borderId="31" xfId="0" applyFont="1" applyBorder="1" applyAlignment="1">
      <alignment horizont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24" fillId="0" borderId="32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1" xfId="0" applyFont="1" applyBorder="1" applyAlignment="1">
      <alignment horizontal="center" vertical="top"/>
    </xf>
    <xf numFmtId="0" fontId="7" fillId="3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7" fillId="3" borderId="1" xfId="0" applyNumberFormat="1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35" xfId="0" applyFont="1" applyBorder="1" applyAlignment="1">
      <alignment vertical="top"/>
    </xf>
    <xf numFmtId="9" fontId="0" fillId="0" borderId="0" xfId="3" applyFont="1" applyAlignment="1">
      <alignment horizontal="center" vertical="center"/>
    </xf>
    <xf numFmtId="9" fontId="0" fillId="0" borderId="0" xfId="3" applyFont="1" applyBorder="1" applyAlignment="1">
      <alignment horizontal="center" vertical="center"/>
    </xf>
    <xf numFmtId="9" fontId="14" fillId="0" borderId="0" xfId="3" applyFont="1"/>
    <xf numFmtId="0" fontId="14" fillId="0" borderId="1" xfId="0" applyFont="1" applyBorder="1" applyAlignment="1">
      <alignment horizontal="center" vertical="center" wrapText="1"/>
    </xf>
    <xf numFmtId="0" fontId="21" fillId="0" borderId="0" xfId="0" applyFont="1"/>
    <xf numFmtId="0" fontId="36" fillId="0" borderId="0" xfId="0" applyFont="1" applyAlignment="1">
      <alignment horizontal="left" vertical="center"/>
    </xf>
    <xf numFmtId="0" fontId="36" fillId="0" borderId="0" xfId="0" applyFont="1"/>
    <xf numFmtId="0" fontId="36" fillId="0" borderId="0" xfId="0" applyFont="1" applyAlignment="1">
      <alignment horizontal="right"/>
    </xf>
    <xf numFmtId="0" fontId="11" fillId="0" borderId="0" xfId="0" applyFont="1"/>
    <xf numFmtId="0" fontId="37" fillId="0" borderId="0" xfId="0" applyFont="1"/>
    <xf numFmtId="0" fontId="11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1" applyAlignment="1">
      <alignment horizontal="center" vertical="center"/>
    </xf>
    <xf numFmtId="0" fontId="14" fillId="0" borderId="0" xfId="0" applyFont="1" applyAlignment="1">
      <alignment horizontal="left" vertical="top"/>
    </xf>
    <xf numFmtId="14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9" fontId="0" fillId="5" borderId="0" xfId="3" applyFont="1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2" fillId="5" borderId="0" xfId="1" applyFill="1" applyAlignment="1">
      <alignment horizontal="center" vertical="center"/>
    </xf>
    <xf numFmtId="9" fontId="0" fillId="5" borderId="0" xfId="3" applyFont="1" applyFill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14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14" fontId="12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9" fillId="9" borderId="1" xfId="0" applyFont="1" applyFill="1" applyBorder="1" applyAlignment="1">
      <alignment horizontal="center" vertical="center" wrapText="1"/>
    </xf>
    <xf numFmtId="0" fontId="2" fillId="0" borderId="44" xfId="1" applyBorder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4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12" xfId="0" applyFont="1" applyFill="1" applyBorder="1" applyAlignment="1">
      <alignment horizontal="left" vertical="center" wrapText="1"/>
    </xf>
    <xf numFmtId="0" fontId="0" fillId="5" borderId="24" xfId="0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left" vertical="center" wrapText="1"/>
    </xf>
    <xf numFmtId="0" fontId="0" fillId="5" borderId="25" xfId="0" applyFill="1" applyBorder="1" applyAlignment="1">
      <alignment horizontal="center" vertical="center"/>
    </xf>
    <xf numFmtId="0" fontId="12" fillId="5" borderId="13" xfId="0" applyFont="1" applyFill="1" applyBorder="1" applyAlignment="1">
      <alignment horizontal="center" vertical="center"/>
    </xf>
    <xf numFmtId="0" fontId="11" fillId="5" borderId="17" xfId="0" applyFont="1" applyFill="1" applyBorder="1" applyAlignment="1">
      <alignment horizontal="left" vertical="center" wrapText="1"/>
    </xf>
    <xf numFmtId="0" fontId="0" fillId="5" borderId="26" xfId="0" applyFill="1" applyBorder="1" applyAlignment="1">
      <alignment horizontal="center" vertical="center"/>
    </xf>
    <xf numFmtId="0" fontId="12" fillId="5" borderId="15" xfId="0" applyFont="1" applyFill="1" applyBorder="1" applyAlignment="1">
      <alignment horizontal="center" vertical="center"/>
    </xf>
    <xf numFmtId="164" fontId="18" fillId="5" borderId="0" xfId="3" applyNumberFormat="1" applyFont="1" applyFill="1" applyBorder="1" applyAlignment="1">
      <alignment horizontal="center" vertical="center" wrapText="1"/>
    </xf>
    <xf numFmtId="0" fontId="18" fillId="5" borderId="0" xfId="0" applyFont="1" applyFill="1" applyAlignment="1">
      <alignment horizontal="center" vertical="center" wrapText="1"/>
    </xf>
    <xf numFmtId="0" fontId="13" fillId="5" borderId="1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21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32" fillId="5" borderId="29" xfId="0" applyFont="1" applyFill="1" applyBorder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5" borderId="0" xfId="0" applyFont="1" applyFill="1"/>
    <xf numFmtId="0" fontId="0" fillId="5" borderId="0" xfId="0" applyFill="1"/>
    <xf numFmtId="0" fontId="36" fillId="5" borderId="0" xfId="0" applyFont="1" applyFill="1" applyAlignment="1">
      <alignment horizontal="right"/>
    </xf>
    <xf numFmtId="0" fontId="14" fillId="5" borderId="0" xfId="0" applyFont="1" applyFill="1"/>
    <xf numFmtId="0" fontId="11" fillId="5" borderId="0" xfId="0" applyFont="1" applyFill="1"/>
    <xf numFmtId="0" fontId="37" fillId="5" borderId="0" xfId="0" applyFont="1" applyFill="1"/>
    <xf numFmtId="0" fontId="11" fillId="5" borderId="0" xfId="0" applyFont="1" applyFill="1" applyAlignment="1">
      <alignment horizontal="right"/>
    </xf>
    <xf numFmtId="0" fontId="11" fillId="5" borderId="0" xfId="0" applyFont="1" applyFill="1" applyAlignment="1">
      <alignment horizontal="left"/>
    </xf>
    <xf numFmtId="0" fontId="2" fillId="5" borderId="0" xfId="1" applyFill="1"/>
    <xf numFmtId="0" fontId="38" fillId="5" borderId="0" xfId="0" applyFont="1" applyFill="1" applyAlignment="1">
      <alignment horizontal="center" vertical="center"/>
    </xf>
    <xf numFmtId="0" fontId="16" fillId="5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1" fontId="24" fillId="2" borderId="41" xfId="0" applyNumberFormat="1" applyFont="1" applyFill="1" applyBorder="1" applyAlignment="1">
      <alignment horizontal="center" vertical="center" wrapText="1"/>
    </xf>
    <xf numFmtId="1" fontId="27" fillId="5" borderId="1" xfId="0" applyNumberFormat="1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/>
    </xf>
    <xf numFmtId="0" fontId="11" fillId="5" borderId="24" xfId="3" applyNumberFormat="1" applyFont="1" applyFill="1" applyBorder="1" applyAlignment="1">
      <alignment horizontal="center" vertical="center" wrapText="1"/>
    </xf>
    <xf numFmtId="0" fontId="11" fillId="5" borderId="25" xfId="3" applyNumberFormat="1" applyFont="1" applyFill="1" applyBorder="1" applyAlignment="1">
      <alignment horizontal="center" vertical="center" wrapText="1"/>
    </xf>
    <xf numFmtId="0" fontId="11" fillId="5" borderId="26" xfId="3" applyNumberFormat="1" applyFont="1" applyFill="1" applyBorder="1" applyAlignment="1">
      <alignment horizontal="center" vertical="center" wrapText="1"/>
    </xf>
    <xf numFmtId="0" fontId="11" fillId="5" borderId="11" xfId="0" applyFont="1" applyFill="1" applyBorder="1" applyAlignment="1">
      <alignment horizontal="left" vertical="center" wrapText="1"/>
    </xf>
    <xf numFmtId="0" fontId="11" fillId="5" borderId="13" xfId="0" applyFont="1" applyFill="1" applyBorder="1" applyAlignment="1">
      <alignment horizontal="left" vertical="center" wrapText="1"/>
    </xf>
    <xf numFmtId="0" fontId="11" fillId="5" borderId="15" xfId="0" applyFont="1" applyFill="1" applyBorder="1" applyAlignment="1">
      <alignment horizontal="left" vertical="center" wrapText="1"/>
    </xf>
    <xf numFmtId="0" fontId="0" fillId="5" borderId="11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4" fillId="2" borderId="0" xfId="2" applyFont="1" applyFill="1" applyAlignment="1">
      <alignment horizontal="center" vertical="center" wrapText="1"/>
    </xf>
    <xf numFmtId="0" fontId="4" fillId="2" borderId="2" xfId="2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7" fontId="1" fillId="0" borderId="44" xfId="0" applyNumberFormat="1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1" fontId="5" fillId="2" borderId="0" xfId="0" applyNumberFormat="1" applyFont="1" applyFill="1" applyAlignment="1">
      <alignment horizontal="center" vertical="center" wrapText="1"/>
    </xf>
    <xf numFmtId="0" fontId="1" fillId="10" borderId="44" xfId="0" applyFont="1" applyFill="1" applyBorder="1" applyAlignment="1">
      <alignment horizontal="center" vertical="center" wrapText="1"/>
    </xf>
    <xf numFmtId="0" fontId="1" fillId="8" borderId="44" xfId="0" applyFont="1" applyFill="1" applyBorder="1" applyAlignment="1">
      <alignment horizontal="center" vertical="center" wrapText="1"/>
    </xf>
    <xf numFmtId="0" fontId="8" fillId="5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5" fillId="0" borderId="27" xfId="2" applyFont="1" applyBorder="1" applyAlignment="1">
      <alignment horizontal="center" vertical="center"/>
    </xf>
    <xf numFmtId="0" fontId="4" fillId="2" borderId="11" xfId="2" applyFont="1" applyFill="1" applyBorder="1" applyAlignment="1">
      <alignment horizontal="center" vertical="center"/>
    </xf>
    <xf numFmtId="0" fontId="4" fillId="2" borderId="13" xfId="2" applyFont="1" applyFill="1" applyBorder="1" applyAlignment="1">
      <alignment horizontal="center" vertical="center"/>
    </xf>
    <xf numFmtId="0" fontId="4" fillId="2" borderId="15" xfId="2" applyFont="1" applyFill="1" applyBorder="1" applyAlignment="1">
      <alignment horizontal="center" vertical="center"/>
    </xf>
    <xf numFmtId="0" fontId="1" fillId="9" borderId="44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left" vertical="center" wrapText="1"/>
    </xf>
    <xf numFmtId="0" fontId="33" fillId="5" borderId="0" xfId="0" applyFont="1" applyFill="1" applyAlignment="1">
      <alignment horizontal="right" vertical="center"/>
    </xf>
    <xf numFmtId="0" fontId="13" fillId="5" borderId="7" xfId="0" applyFont="1" applyFill="1" applyBorder="1" applyAlignment="1">
      <alignment horizontal="center" vertical="center" wrapText="1"/>
    </xf>
    <xf numFmtId="0" fontId="13" fillId="5" borderId="10" xfId="0" applyFont="1" applyFill="1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9" fontId="13" fillId="5" borderId="7" xfId="3" applyFont="1" applyFill="1" applyBorder="1" applyAlignment="1">
      <alignment horizontal="center" vertical="center" wrapText="1"/>
    </xf>
    <xf numFmtId="9" fontId="13" fillId="5" borderId="10" xfId="3" applyFont="1" applyFill="1" applyBorder="1" applyAlignment="1">
      <alignment horizontal="center" vertical="center" wrapText="1"/>
    </xf>
    <xf numFmtId="9" fontId="13" fillId="5" borderId="16" xfId="3" applyFont="1" applyFill="1" applyBorder="1" applyAlignment="1">
      <alignment horizontal="center" vertical="center" wrapText="1"/>
    </xf>
    <xf numFmtId="0" fontId="13" fillId="5" borderId="9" xfId="0" applyFont="1" applyFill="1" applyBorder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5" borderId="22" xfId="0" applyFont="1" applyFill="1" applyBorder="1" applyAlignment="1">
      <alignment horizontal="center" vertical="center" wrapText="1"/>
    </xf>
    <xf numFmtId="1" fontId="17" fillId="5" borderId="18" xfId="0" applyNumberFormat="1" applyFont="1" applyFill="1" applyBorder="1" applyAlignment="1">
      <alignment horizontal="center" vertical="center"/>
    </xf>
    <xf numFmtId="1" fontId="17" fillId="5" borderId="9" xfId="0" applyNumberFormat="1" applyFont="1" applyFill="1" applyBorder="1" applyAlignment="1">
      <alignment horizontal="center" vertical="center"/>
    </xf>
    <xf numFmtId="1" fontId="17" fillId="5" borderId="20" xfId="0" applyNumberFormat="1" applyFont="1" applyFill="1" applyBorder="1" applyAlignment="1">
      <alignment horizontal="center" vertical="center"/>
    </xf>
    <xf numFmtId="0" fontId="13" fillId="5" borderId="7" xfId="3" applyNumberFormat="1" applyFont="1" applyFill="1" applyBorder="1" applyAlignment="1">
      <alignment horizontal="center" vertical="center" wrapText="1"/>
    </xf>
    <xf numFmtId="0" fontId="13" fillId="5" borderId="10" xfId="3" applyNumberFormat="1" applyFont="1" applyFill="1" applyBorder="1" applyAlignment="1">
      <alignment horizontal="center" vertical="center" wrapText="1"/>
    </xf>
    <xf numFmtId="0" fontId="13" fillId="5" borderId="16" xfId="3" applyNumberFormat="1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11" fillId="5" borderId="7" xfId="3" applyNumberFormat="1" applyFont="1" applyFill="1" applyBorder="1" applyAlignment="1">
      <alignment horizontal="center" vertical="center" wrapText="1"/>
    </xf>
    <xf numFmtId="0" fontId="11" fillId="5" borderId="10" xfId="3" applyNumberFormat="1" applyFont="1" applyFill="1" applyBorder="1" applyAlignment="1">
      <alignment horizontal="center" vertical="center" wrapText="1"/>
    </xf>
    <xf numFmtId="0" fontId="11" fillId="5" borderId="16" xfId="3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14" fontId="13" fillId="5" borderId="1" xfId="0" applyNumberFormat="1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3" fillId="5" borderId="7" xfId="0" applyFont="1" applyFill="1" applyBorder="1" applyAlignment="1">
      <alignment horizontal="center" vertical="center" textRotation="1" wrapText="1"/>
    </xf>
    <xf numFmtId="0" fontId="13" fillId="5" borderId="10" xfId="0" applyFont="1" applyFill="1" applyBorder="1" applyAlignment="1">
      <alignment horizontal="center" vertical="center" textRotation="1" wrapText="1"/>
    </xf>
    <xf numFmtId="0" fontId="13" fillId="5" borderId="16" xfId="0" applyFont="1" applyFill="1" applyBorder="1" applyAlignment="1">
      <alignment horizontal="center" vertical="center" textRotation="1" wrapText="1"/>
    </xf>
    <xf numFmtId="0" fontId="33" fillId="0" borderId="0" xfId="0" applyFont="1" applyAlignment="1">
      <alignment horizontal="right"/>
    </xf>
    <xf numFmtId="0" fontId="33" fillId="0" borderId="0" xfId="0" applyFont="1" applyAlignment="1">
      <alignment horizontal="right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4" fillId="0" borderId="33" xfId="0" applyFont="1" applyBorder="1" applyAlignment="1">
      <alignment horizontal="left" vertical="top"/>
    </xf>
    <xf numFmtId="0" fontId="14" fillId="0" borderId="2" xfId="0" applyFont="1" applyBorder="1" applyAlignment="1">
      <alignment horizontal="left" vertical="top"/>
    </xf>
    <xf numFmtId="0" fontId="14" fillId="0" borderId="35" xfId="0" applyFont="1" applyBorder="1" applyAlignment="1">
      <alignment horizontal="left" vertical="top"/>
    </xf>
    <xf numFmtId="0" fontId="14" fillId="0" borderId="34" xfId="0" applyFont="1" applyBorder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6" xfId="0" applyFont="1" applyBorder="1" applyAlignment="1">
      <alignment horizontal="left" vertical="top"/>
    </xf>
    <xf numFmtId="0" fontId="14" fillId="0" borderId="36" xfId="0" applyFont="1" applyBorder="1" applyAlignment="1">
      <alignment horizontal="left" vertical="top"/>
    </xf>
    <xf numFmtId="0" fontId="14" fillId="0" borderId="30" xfId="0" applyFont="1" applyBorder="1" applyAlignment="1">
      <alignment horizontal="left" vertical="top"/>
    </xf>
    <xf numFmtId="0" fontId="14" fillId="0" borderId="37" xfId="0" applyFont="1" applyBorder="1" applyAlignment="1">
      <alignment horizontal="left" vertical="top"/>
    </xf>
    <xf numFmtId="0" fontId="14" fillId="0" borderId="34" xfId="0" applyFont="1" applyBorder="1" applyAlignment="1">
      <alignment horizontal="center" vertical="top" wrapText="1"/>
    </xf>
    <xf numFmtId="0" fontId="14" fillId="0" borderId="0" xfId="0" applyFont="1" applyAlignment="1">
      <alignment horizontal="center" vertical="top" wrapText="1"/>
    </xf>
    <xf numFmtId="0" fontId="14" fillId="0" borderId="6" xfId="0" applyFont="1" applyBorder="1" applyAlignment="1">
      <alignment horizontal="center" vertical="top" wrapText="1"/>
    </xf>
    <xf numFmtId="0" fontId="14" fillId="0" borderId="36" xfId="0" applyFont="1" applyBorder="1" applyAlignment="1">
      <alignment horizontal="center" vertical="top" wrapText="1"/>
    </xf>
    <xf numFmtId="0" fontId="14" fillId="0" borderId="30" xfId="0" applyFont="1" applyBorder="1" applyAlignment="1">
      <alignment horizontal="center" vertical="top" wrapText="1"/>
    </xf>
    <xf numFmtId="0" fontId="14" fillId="0" borderId="37" xfId="0" applyFont="1" applyBorder="1" applyAlignment="1">
      <alignment horizontal="center" vertical="top" wrapText="1"/>
    </xf>
    <xf numFmtId="14" fontId="1" fillId="0" borderId="44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2" fillId="0" borderId="44" xfId="1" applyBorder="1" applyAlignment="1">
      <alignment horizontal="center" vertical="center"/>
    </xf>
  </cellXfs>
  <cellStyles count="5">
    <cellStyle name="Hipervínculo" xfId="1" builtinId="8"/>
    <cellStyle name="Normal" xfId="0" builtinId="0"/>
    <cellStyle name="Normal 2" xfId="2" xr:uid="{00000000-0005-0000-0000-000002000000}"/>
    <cellStyle name="Normal 3" xfId="4" xr:uid="{00000000-0005-0000-0000-000003000000}"/>
    <cellStyle name="Porcentaje" xfId="3" builtinId="5"/>
  </cellStyles>
  <dxfs count="1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3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11130</xdr:colOff>
      <xdr:row>49</xdr:row>
      <xdr:rowOff>92576</xdr:rowOff>
    </xdr:from>
    <xdr:ext cx="2821988" cy="906037"/>
    <xdr:pic>
      <xdr:nvPicPr>
        <xdr:cNvPr id="5" name="7 Imagen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11130" y="10297933"/>
          <a:ext cx="2821988" cy="906037"/>
        </a:xfrm>
        <a:prstGeom prst="rect">
          <a:avLst/>
        </a:prstGeom>
      </xdr:spPr>
    </xdr:pic>
    <xdr:clientData/>
  </xdr:oneCellAnchor>
  <xdr:twoCellAnchor>
    <xdr:from>
      <xdr:col>1</xdr:col>
      <xdr:colOff>139390</xdr:colOff>
      <xdr:row>56</xdr:row>
      <xdr:rowOff>771</xdr:rowOff>
    </xdr:from>
    <xdr:to>
      <xdr:col>5</xdr:col>
      <xdr:colOff>1196434</xdr:colOff>
      <xdr:row>92</xdr:row>
      <xdr:rowOff>58851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83990" y="16053571"/>
          <a:ext cx="8829444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35942</xdr:colOff>
      <xdr:row>96</xdr:row>
      <xdr:rowOff>56030</xdr:rowOff>
    </xdr:from>
    <xdr:ext cx="2822652" cy="882805"/>
    <xdr:pic>
      <xdr:nvPicPr>
        <xdr:cNvPr id="7" name="7 Image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5942" y="19386177"/>
          <a:ext cx="2822652" cy="882805"/>
        </a:xfrm>
        <a:prstGeom prst="rect">
          <a:avLst/>
        </a:prstGeom>
      </xdr:spPr>
    </xdr:pic>
    <xdr:clientData/>
  </xdr:oneCellAnchor>
  <xdr:twoCellAnchor>
    <xdr:from>
      <xdr:col>1</xdr:col>
      <xdr:colOff>139390</xdr:colOff>
      <xdr:row>103</xdr:row>
      <xdr:rowOff>64270</xdr:rowOff>
    </xdr:from>
    <xdr:to>
      <xdr:col>5</xdr:col>
      <xdr:colOff>1196434</xdr:colOff>
      <xdr:row>142</xdr:row>
      <xdr:rowOff>165099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83990" y="25476970"/>
          <a:ext cx="8829444" cy="7530329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35942</xdr:colOff>
      <xdr:row>146</xdr:row>
      <xdr:rowOff>35212</xdr:rowOff>
    </xdr:from>
    <xdr:ext cx="2822652" cy="882805"/>
    <xdr:pic>
      <xdr:nvPicPr>
        <xdr:cNvPr id="9" name="7 Image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5942" y="29103271"/>
          <a:ext cx="2822652" cy="882805"/>
        </a:xfrm>
        <a:prstGeom prst="rect">
          <a:avLst/>
        </a:prstGeom>
      </xdr:spPr>
    </xdr:pic>
    <xdr:clientData/>
  </xdr:oneCellAnchor>
  <xdr:twoCellAnchor>
    <xdr:from>
      <xdr:col>1</xdr:col>
      <xdr:colOff>139390</xdr:colOff>
      <xdr:row>151</xdr:row>
      <xdr:rowOff>178570</xdr:rowOff>
    </xdr:from>
    <xdr:to>
      <xdr:col>5</xdr:col>
      <xdr:colOff>1196434</xdr:colOff>
      <xdr:row>190</xdr:row>
      <xdr:rowOff>63499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383990" y="35141670"/>
          <a:ext cx="8829444" cy="7314429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78441</xdr:colOff>
      <xdr:row>0</xdr:row>
      <xdr:rowOff>33618</xdr:rowOff>
    </xdr:from>
    <xdr:to>
      <xdr:col>1</xdr:col>
      <xdr:colOff>506505</xdr:colOff>
      <xdr:row>1</xdr:row>
      <xdr:rowOff>56320</xdr:rowOff>
    </xdr:to>
    <xdr:pic>
      <xdr:nvPicPr>
        <xdr:cNvPr id="11" name="Picture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78441" y="33618"/>
          <a:ext cx="1739152" cy="4261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4</xdr:row>
          <xdr:rowOff>9525</xdr:rowOff>
        </xdr:from>
        <xdr:to>
          <xdr:col>5</xdr:col>
          <xdr:colOff>1209675</xdr:colOff>
          <xdr:row>7</xdr:row>
          <xdr:rowOff>0</xdr:rowOff>
        </xdr:to>
        <xdr:sp macro="" textlink="">
          <xdr:nvSpPr>
            <xdr:cNvPr id="20483" name="CB1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4258235</xdr:colOff>
      <xdr:row>47</xdr:row>
      <xdr:rowOff>11205</xdr:rowOff>
    </xdr:from>
    <xdr:to>
      <xdr:col>3</xdr:col>
      <xdr:colOff>515470</xdr:colOff>
      <xdr:row>48</xdr:row>
      <xdr:rowOff>44825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869206" y="9793940"/>
          <a:ext cx="1109382" cy="2241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GT" sz="1100"/>
            <a:t>JAFET MEOÑO</a:t>
          </a:r>
        </a:p>
      </xdr:txBody>
    </xdr:sp>
    <xdr:clientData/>
  </xdr:twoCellAnchor>
  <xdr:twoCellAnchor>
    <xdr:from>
      <xdr:col>5</xdr:col>
      <xdr:colOff>549088</xdr:colOff>
      <xdr:row>47</xdr:row>
      <xdr:rowOff>22412</xdr:rowOff>
    </xdr:from>
    <xdr:to>
      <xdr:col>6</xdr:col>
      <xdr:colOff>212911</xdr:colOff>
      <xdr:row>48</xdr:row>
      <xdr:rowOff>89648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9637059" y="9805147"/>
          <a:ext cx="1277470" cy="2577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GT" sz="1100"/>
            <a:t>INGRID</a:t>
          </a:r>
          <a:r>
            <a:rPr lang="es-GT" sz="1100" baseline="0"/>
            <a:t> MARBELLA</a:t>
          </a:r>
          <a:endParaRPr lang="es-G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44823</xdr:colOff>
      <xdr:row>0</xdr:row>
      <xdr:rowOff>33619</xdr:rowOff>
    </xdr:from>
    <xdr:to>
      <xdr:col>0</xdr:col>
      <xdr:colOff>1602441</xdr:colOff>
      <xdr:row>1</xdr:row>
      <xdr:rowOff>40072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44823" y="33619"/>
          <a:ext cx="1557618" cy="432277"/>
        </a:xfrm>
        <a:prstGeom prst="rect">
          <a:avLst/>
        </a:prstGeom>
      </xdr:spPr>
    </xdr:pic>
    <xdr:clientData/>
  </xdr:twoCellAnchor>
  <xdr:twoCellAnchor editAs="oneCell">
    <xdr:from>
      <xdr:col>0</xdr:col>
      <xdr:colOff>17929</xdr:colOff>
      <xdr:row>41</xdr:row>
      <xdr:rowOff>114862</xdr:rowOff>
    </xdr:from>
    <xdr:to>
      <xdr:col>1</xdr:col>
      <xdr:colOff>526006</xdr:colOff>
      <xdr:row>46</xdr:row>
      <xdr:rowOff>26676</xdr:rowOff>
    </xdr:to>
    <xdr:pic>
      <xdr:nvPicPr>
        <xdr:cNvPr id="10" name="5 Image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17929" y="9045950"/>
          <a:ext cx="2827695" cy="976373"/>
        </a:xfrm>
        <a:prstGeom prst="rect">
          <a:avLst/>
        </a:prstGeom>
      </xdr:spPr>
    </xdr:pic>
    <xdr:clientData/>
  </xdr:twoCellAnchor>
  <xdr:twoCellAnchor>
    <xdr:from>
      <xdr:col>0</xdr:col>
      <xdr:colOff>685800</xdr:colOff>
      <xdr:row>49</xdr:row>
      <xdr:rowOff>57150</xdr:rowOff>
    </xdr:from>
    <xdr:to>
      <xdr:col>6</xdr:col>
      <xdr:colOff>596899</xdr:colOff>
      <xdr:row>90</xdr:row>
      <xdr:rowOff>19050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85800" y="18535650"/>
          <a:ext cx="7702549" cy="6600825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342900</xdr:colOff>
      <xdr:row>96</xdr:row>
      <xdr:rowOff>47625</xdr:rowOff>
    </xdr:from>
    <xdr:ext cx="2824384" cy="852498"/>
    <xdr:pic>
      <xdr:nvPicPr>
        <xdr:cNvPr id="12" name="5 Image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42900" y="26136600"/>
          <a:ext cx="2824384" cy="852498"/>
        </a:xfrm>
        <a:prstGeom prst="rect">
          <a:avLst/>
        </a:prstGeom>
      </xdr:spPr>
    </xdr:pic>
    <xdr:clientData/>
  </xdr:oneCellAnchor>
  <xdr:twoCellAnchor>
    <xdr:from>
      <xdr:col>0</xdr:col>
      <xdr:colOff>774700</xdr:colOff>
      <xdr:row>105</xdr:row>
      <xdr:rowOff>146799</xdr:rowOff>
    </xdr:from>
    <xdr:to>
      <xdr:col>6</xdr:col>
      <xdr:colOff>593724</xdr:colOff>
      <xdr:row>146</xdr:row>
      <xdr:rowOff>108700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74700" y="21337123"/>
          <a:ext cx="7270936" cy="6394077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0</xdr:colOff>
      <xdr:row>149</xdr:row>
      <xdr:rowOff>94978</xdr:rowOff>
    </xdr:from>
    <xdr:ext cx="2822652" cy="882805"/>
    <xdr:pic>
      <xdr:nvPicPr>
        <xdr:cNvPr id="14" name="7 Imagen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0" y="26563272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1104900</xdr:colOff>
      <xdr:row>155</xdr:row>
      <xdr:rowOff>161389</xdr:rowOff>
    </xdr:from>
    <xdr:to>
      <xdr:col>6</xdr:col>
      <xdr:colOff>546100</xdr:colOff>
      <xdr:row>192</xdr:row>
      <xdr:rowOff>28969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04900" y="29610448"/>
          <a:ext cx="6893112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69561</xdr:colOff>
      <xdr:row>198</xdr:row>
      <xdr:rowOff>50154</xdr:rowOff>
    </xdr:from>
    <xdr:ext cx="2822652" cy="882805"/>
    <xdr:pic>
      <xdr:nvPicPr>
        <xdr:cNvPr id="16" name="7 Imagen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69561" y="36065860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850900</xdr:colOff>
      <xdr:row>204</xdr:row>
      <xdr:rowOff>127771</xdr:rowOff>
    </xdr:from>
    <xdr:to>
      <xdr:col>6</xdr:col>
      <xdr:colOff>596900</xdr:colOff>
      <xdr:row>240</xdr:row>
      <xdr:rowOff>185851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850900" y="45962071"/>
          <a:ext cx="7537450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342900</xdr:colOff>
      <xdr:row>84</xdr:row>
      <xdr:rowOff>2802</xdr:rowOff>
    </xdr:from>
    <xdr:to>
      <xdr:col>1</xdr:col>
      <xdr:colOff>1279602</xdr:colOff>
      <xdr:row>87</xdr:row>
      <xdr:rowOff>143217</xdr:rowOff>
    </xdr:to>
    <xdr:pic>
      <xdr:nvPicPr>
        <xdr:cNvPr id="5" name="5 Image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42900" y="17243052"/>
          <a:ext cx="2822652" cy="864315"/>
        </a:xfrm>
        <a:prstGeom prst="rect">
          <a:avLst/>
        </a:prstGeom>
      </xdr:spPr>
    </xdr:pic>
    <xdr:clientData/>
  </xdr:twoCellAnchor>
  <xdr:twoCellAnchor>
    <xdr:from>
      <xdr:col>0</xdr:col>
      <xdr:colOff>685800</xdr:colOff>
      <xdr:row>90</xdr:row>
      <xdr:rowOff>57150</xdr:rowOff>
    </xdr:from>
    <xdr:to>
      <xdr:col>6</xdr:col>
      <xdr:colOff>596899</xdr:colOff>
      <xdr:row>131</xdr:row>
      <xdr:rowOff>19050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5800" y="18764250"/>
          <a:ext cx="7442199" cy="673100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342900</xdr:colOff>
      <xdr:row>137</xdr:row>
      <xdr:rowOff>47625</xdr:rowOff>
    </xdr:from>
    <xdr:ext cx="2824384" cy="852498"/>
    <xdr:pic>
      <xdr:nvPicPr>
        <xdr:cNvPr id="7" name="5 Image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42900" y="26108025"/>
          <a:ext cx="2824384" cy="852498"/>
        </a:xfrm>
        <a:prstGeom prst="rect">
          <a:avLst/>
        </a:prstGeom>
      </xdr:spPr>
    </xdr:pic>
    <xdr:clientData/>
  </xdr:oneCellAnchor>
  <xdr:twoCellAnchor>
    <xdr:from>
      <xdr:col>0</xdr:col>
      <xdr:colOff>774700</xdr:colOff>
      <xdr:row>145</xdr:row>
      <xdr:rowOff>57150</xdr:rowOff>
    </xdr:from>
    <xdr:to>
      <xdr:col>6</xdr:col>
      <xdr:colOff>736599</xdr:colOff>
      <xdr:row>186</xdr:row>
      <xdr:rowOff>19050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74700" y="28111450"/>
          <a:ext cx="7492999" cy="673100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22412</xdr:colOff>
      <xdr:row>0</xdr:row>
      <xdr:rowOff>56030</xdr:rowOff>
    </xdr:from>
    <xdr:to>
      <xdr:col>0</xdr:col>
      <xdr:colOff>1580030</xdr:colOff>
      <xdr:row>0</xdr:row>
      <xdr:rowOff>488307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22412" y="56030"/>
          <a:ext cx="1557618" cy="432277"/>
        </a:xfrm>
        <a:prstGeom prst="rect">
          <a:avLst/>
        </a:prstGeom>
      </xdr:spPr>
    </xdr:pic>
    <xdr:clientData/>
  </xdr:twoCellAnchor>
  <xdr:oneCellAnchor>
    <xdr:from>
      <xdr:col>0</xdr:col>
      <xdr:colOff>29539</xdr:colOff>
      <xdr:row>190</xdr:row>
      <xdr:rowOff>164615</xdr:rowOff>
    </xdr:from>
    <xdr:ext cx="2822652" cy="882805"/>
    <xdr:pic>
      <xdr:nvPicPr>
        <xdr:cNvPr id="10" name="7 Image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29539" y="33665401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1104900</xdr:colOff>
      <xdr:row>196</xdr:row>
      <xdr:rowOff>127771</xdr:rowOff>
    </xdr:from>
    <xdr:to>
      <xdr:col>6</xdr:col>
      <xdr:colOff>546100</xdr:colOff>
      <xdr:row>232</xdr:row>
      <xdr:rowOff>185851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104900" y="36970471"/>
          <a:ext cx="6972300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138397</xdr:colOff>
      <xdr:row>239</xdr:row>
      <xdr:rowOff>82971</xdr:rowOff>
    </xdr:from>
    <xdr:ext cx="2822652" cy="882805"/>
    <xdr:pic>
      <xdr:nvPicPr>
        <xdr:cNvPr id="12" name="7 Image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138397" y="43122364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850900</xdr:colOff>
      <xdr:row>245</xdr:row>
      <xdr:rowOff>127771</xdr:rowOff>
    </xdr:from>
    <xdr:to>
      <xdr:col>6</xdr:col>
      <xdr:colOff>596900</xdr:colOff>
      <xdr:row>281</xdr:row>
      <xdr:rowOff>185851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50900" y="46520871"/>
          <a:ext cx="7277100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liva.francis/Desktop/2017/AUDITORIAS%20PERSONAL%20INTERNO/CALIDAD%20DE%20LA%20INSTALACION%202017%20V1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AUDITORIA"/>
      <sheetName val="Sheet1"/>
      <sheetName val="Hoja1"/>
      <sheetName val="HFC"/>
      <sheetName val="CALTEC HFC"/>
      <sheetName val="VUC HFC"/>
      <sheetName val="TOOLS HFC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5Uf337mEqMUnJzrjDSf4zBNLSreVAtvE" TargetMode="External"/><Relationship Id="rId2" Type="http://schemas.openxmlformats.org/officeDocument/2006/relationships/hyperlink" Target="https://drive.google.com/open?id=15Uf337mEqMUnJzrjDSf4zBNLSreVAtvE" TargetMode="External"/><Relationship Id="rId1" Type="http://schemas.openxmlformats.org/officeDocument/2006/relationships/hyperlink" Target="https://drive.google.com/open?id=1vxNQiHqawCJVXwWabH84_-z2TixHlj01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ive.google.com/open?id=15Uf337mEqMUnJzrjDSf4zBNLSreVAtvE" TargetMode="External"/><Relationship Id="rId4" Type="http://schemas.openxmlformats.org/officeDocument/2006/relationships/hyperlink" Target="https://drive.google.com/open?id=15Uf337mEqMUnJzrjDSf4zBNLSreVAtv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BT113"/>
  <sheetViews>
    <sheetView tabSelected="1" topLeftCell="AU1" zoomScale="85" zoomScaleNormal="85" workbookViewId="0">
      <selection activeCell="BJ3" sqref="BJ3"/>
    </sheetView>
  </sheetViews>
  <sheetFormatPr baseColWidth="10" defaultColWidth="12.28515625" defaultRowHeight="15" x14ac:dyDescent="0.25"/>
  <cols>
    <col min="1" max="1" width="11" style="77" bestFit="1" customWidth="1"/>
    <col min="2" max="2" width="11" style="166" bestFit="1" customWidth="1"/>
    <col min="3" max="3" width="13.42578125" style="77" bestFit="1" customWidth="1"/>
    <col min="4" max="4" width="10.28515625" style="77" bestFit="1" customWidth="1"/>
    <col min="5" max="5" width="16.28515625" style="77" bestFit="1" customWidth="1"/>
    <col min="6" max="6" width="11" style="77" bestFit="1" customWidth="1"/>
    <col min="7" max="7" width="16.85546875" style="77" bestFit="1" customWidth="1"/>
    <col min="8" max="8" width="13" style="77" bestFit="1" customWidth="1"/>
    <col min="9" max="9" width="13.5703125" style="77" bestFit="1" customWidth="1"/>
    <col min="10" max="10" width="11" style="77" bestFit="1" customWidth="1"/>
    <col min="11" max="11" width="17.140625" style="77" bestFit="1" customWidth="1"/>
    <col min="12" max="12" width="24.7109375" style="77" bestFit="1" customWidth="1"/>
    <col min="13" max="13" width="14.85546875" style="77" bestFit="1" customWidth="1"/>
    <col min="14" max="14" width="24.28515625" style="77" bestFit="1" customWidth="1"/>
    <col min="15" max="16" width="17.7109375" style="77" bestFit="1" customWidth="1"/>
    <col min="17" max="19" width="16.7109375" style="77" bestFit="1" customWidth="1"/>
    <col min="20" max="20" width="17.7109375" style="77" bestFit="1" customWidth="1"/>
    <col min="21" max="21" width="46.42578125" style="77" customWidth="1"/>
    <col min="22" max="22" width="17.140625" style="77" bestFit="1" customWidth="1"/>
    <col min="23" max="23" width="16.7109375" style="77" bestFit="1" customWidth="1"/>
    <col min="24" max="24" width="17.140625" style="77" customWidth="1"/>
    <col min="25" max="25" width="14.42578125" style="77" customWidth="1"/>
    <col min="26" max="26" width="12" style="77" customWidth="1"/>
    <col min="27" max="27" width="17.28515625" style="77" customWidth="1"/>
    <col min="28" max="28" width="10.7109375" style="77" customWidth="1"/>
    <col min="29" max="29" width="12.5703125" style="77" customWidth="1"/>
    <col min="30" max="30" width="14.42578125" style="77" customWidth="1"/>
    <col min="31" max="31" width="16.28515625" style="77" customWidth="1"/>
    <col min="32" max="32" width="16" style="77" customWidth="1"/>
    <col min="33" max="33" width="15.85546875" style="77" customWidth="1"/>
    <col min="34" max="34" width="18.42578125" style="77" customWidth="1"/>
    <col min="35" max="35" width="34.28515625" style="77" bestFit="1" customWidth="1"/>
    <col min="36" max="36" width="15.28515625" style="77" customWidth="1"/>
    <col min="37" max="37" width="16.42578125" style="77" customWidth="1"/>
    <col min="38" max="38" width="14" style="77" customWidth="1"/>
    <col min="39" max="39" width="17.7109375" style="77" customWidth="1"/>
    <col min="40" max="40" width="9.5703125" style="77" customWidth="1"/>
    <col min="41" max="41" width="13.7109375" style="77" customWidth="1"/>
    <col min="42" max="42" width="10.85546875" style="77" customWidth="1"/>
    <col min="43" max="43" width="17.85546875" style="77" customWidth="1"/>
    <col min="44" max="44" width="15" style="77" customWidth="1"/>
    <col min="45" max="45" width="17.28515625" style="77" customWidth="1"/>
    <col min="46" max="47" width="12.85546875" style="77" customWidth="1"/>
    <col min="48" max="48" width="13.42578125" style="77" customWidth="1"/>
    <col min="49" max="49" width="14.85546875" style="77" customWidth="1"/>
    <col min="50" max="50" width="10.7109375" style="77" customWidth="1"/>
    <col min="51" max="51" width="14.28515625" style="77" customWidth="1"/>
    <col min="52" max="52" width="12.85546875" style="77" customWidth="1"/>
    <col min="53" max="53" width="17.28515625" style="77" customWidth="1"/>
    <col min="54" max="54" width="13.5703125" style="77" customWidth="1"/>
    <col min="55" max="55" width="14.42578125" style="77" customWidth="1"/>
    <col min="56" max="57" width="10.140625" style="77" customWidth="1"/>
    <col min="58" max="60" width="41.7109375" style="77" customWidth="1"/>
    <col min="61" max="61" width="13.42578125" style="77" hidden="1" customWidth="1"/>
    <col min="62" max="62" width="17.7109375" style="77" customWidth="1"/>
    <col min="63" max="63" width="10" style="77" bestFit="1" customWidth="1"/>
    <col min="64" max="64" width="14.42578125" style="77" bestFit="1" customWidth="1"/>
    <col min="65" max="65" width="11.140625" style="77" bestFit="1" customWidth="1"/>
    <col min="66" max="66" width="10.7109375" style="77" bestFit="1" customWidth="1"/>
    <col min="67" max="67" width="13" style="77" bestFit="1" customWidth="1"/>
    <col min="68" max="68" width="14.28515625" style="77" bestFit="1" customWidth="1"/>
    <col min="69" max="69" width="13.42578125" style="77" bestFit="1" customWidth="1"/>
    <col min="70" max="70" width="12.85546875" style="77" bestFit="1" customWidth="1"/>
    <col min="71" max="71" width="51.140625" style="77" customWidth="1"/>
    <col min="72" max="16384" width="12.28515625" style="77"/>
  </cols>
  <sheetData>
    <row r="1" spans="1:72" ht="15.75" thickBot="1" x14ac:dyDescent="0.3">
      <c r="K1" s="77">
        <v>5</v>
      </c>
      <c r="L1" s="77">
        <v>5</v>
      </c>
      <c r="M1" s="77">
        <v>5</v>
      </c>
      <c r="N1" s="77">
        <v>10</v>
      </c>
      <c r="O1" s="77">
        <v>15</v>
      </c>
      <c r="P1" s="77">
        <v>10</v>
      </c>
      <c r="Q1" s="77">
        <v>5</v>
      </c>
      <c r="R1" s="77">
        <v>5</v>
      </c>
      <c r="S1" s="77">
        <v>5</v>
      </c>
      <c r="T1" s="77">
        <v>10</v>
      </c>
      <c r="U1" s="77">
        <v>10</v>
      </c>
      <c r="V1" s="77">
        <v>10</v>
      </c>
      <c r="W1" s="77">
        <v>5</v>
      </c>
      <c r="X1" s="167">
        <v>10</v>
      </c>
      <c r="Y1" s="168">
        <v>10</v>
      </c>
      <c r="Z1" s="168">
        <v>30</v>
      </c>
      <c r="AA1" s="168">
        <v>3</v>
      </c>
      <c r="AB1" s="168">
        <v>10</v>
      </c>
      <c r="AC1" s="168">
        <v>5</v>
      </c>
      <c r="AD1" s="168">
        <v>5</v>
      </c>
      <c r="AE1" s="168">
        <v>2</v>
      </c>
      <c r="AF1" s="168">
        <v>5</v>
      </c>
      <c r="AG1" s="168">
        <v>5</v>
      </c>
      <c r="AH1" s="168">
        <v>2</v>
      </c>
      <c r="AI1" s="168">
        <v>5</v>
      </c>
      <c r="AJ1" s="168">
        <v>2</v>
      </c>
      <c r="AK1" s="168">
        <v>2</v>
      </c>
      <c r="AL1" s="168">
        <v>2</v>
      </c>
      <c r="AM1" s="168">
        <v>2</v>
      </c>
      <c r="AN1" s="57">
        <v>10</v>
      </c>
      <c r="AO1" s="57">
        <v>10</v>
      </c>
      <c r="AP1" s="57">
        <v>15</v>
      </c>
      <c r="AQ1" s="57">
        <v>15</v>
      </c>
      <c r="AR1" s="57">
        <v>5</v>
      </c>
      <c r="AS1" s="58">
        <v>10</v>
      </c>
      <c r="AT1" s="58">
        <v>5</v>
      </c>
      <c r="AU1" s="58">
        <v>10</v>
      </c>
      <c r="AV1" s="58">
        <v>5</v>
      </c>
      <c r="AW1" s="58">
        <v>5</v>
      </c>
      <c r="AX1" s="57">
        <v>10</v>
      </c>
      <c r="AY1" s="57">
        <v>20</v>
      </c>
      <c r="AZ1" s="57">
        <v>20</v>
      </c>
      <c r="BA1" s="57">
        <v>20</v>
      </c>
      <c r="BB1" s="57">
        <v>20</v>
      </c>
      <c r="BC1" s="57">
        <v>5</v>
      </c>
      <c r="BD1" s="57">
        <v>15</v>
      </c>
      <c r="BE1" s="173"/>
      <c r="BI1" s="59">
        <v>100</v>
      </c>
    </row>
    <row r="2" spans="1:72" ht="51.75" thickBot="1" x14ac:dyDescent="0.3">
      <c r="A2" s="78" t="s">
        <v>3</v>
      </c>
      <c r="B2" s="78" t="s">
        <v>9</v>
      </c>
      <c r="C2" s="61" t="s">
        <v>10</v>
      </c>
      <c r="D2" s="61" t="s">
        <v>11</v>
      </c>
      <c r="E2" s="61" t="s">
        <v>12</v>
      </c>
      <c r="F2" s="61" t="s">
        <v>13</v>
      </c>
      <c r="G2" s="61" t="s">
        <v>0</v>
      </c>
      <c r="H2" s="61" t="s">
        <v>1</v>
      </c>
      <c r="I2" s="61" t="s">
        <v>2</v>
      </c>
      <c r="J2" s="61" t="s">
        <v>3</v>
      </c>
      <c r="K2" s="75" t="s">
        <v>81</v>
      </c>
      <c r="L2" s="75" t="s">
        <v>82</v>
      </c>
      <c r="M2" s="75" t="s">
        <v>83</v>
      </c>
      <c r="N2" s="75" t="s">
        <v>84</v>
      </c>
      <c r="O2" s="75" t="s">
        <v>85</v>
      </c>
      <c r="P2" s="75" t="s">
        <v>86</v>
      </c>
      <c r="Q2" s="75" t="s">
        <v>89</v>
      </c>
      <c r="R2" s="75" t="s">
        <v>90</v>
      </c>
      <c r="S2" s="75" t="s">
        <v>96</v>
      </c>
      <c r="T2" s="75" t="s">
        <v>97</v>
      </c>
      <c r="U2" s="75" t="s">
        <v>98</v>
      </c>
      <c r="V2" s="75" t="s">
        <v>99</v>
      </c>
      <c r="W2" s="75" t="s">
        <v>95</v>
      </c>
      <c r="X2" s="174" t="s">
        <v>103</v>
      </c>
      <c r="Y2" s="174" t="s">
        <v>104</v>
      </c>
      <c r="Z2" s="174" t="s">
        <v>105</v>
      </c>
      <c r="AA2" s="174" t="s">
        <v>106</v>
      </c>
      <c r="AB2" s="174" t="s">
        <v>107</v>
      </c>
      <c r="AC2" s="174" t="s">
        <v>108</v>
      </c>
      <c r="AD2" s="174" t="s">
        <v>109</v>
      </c>
      <c r="AE2" s="174" t="s">
        <v>110</v>
      </c>
      <c r="AF2" s="174" t="s">
        <v>111</v>
      </c>
      <c r="AG2" s="174" t="s">
        <v>112</v>
      </c>
      <c r="AH2" s="174" t="s">
        <v>113</v>
      </c>
      <c r="AI2" s="174" t="s">
        <v>114</v>
      </c>
      <c r="AJ2" s="174" t="s">
        <v>115</v>
      </c>
      <c r="AK2" s="174" t="s">
        <v>116</v>
      </c>
      <c r="AL2" s="174" t="s">
        <v>117</v>
      </c>
      <c r="AM2" s="174" t="s">
        <v>118</v>
      </c>
      <c r="AN2" s="175" t="s">
        <v>119</v>
      </c>
      <c r="AO2" s="175" t="s">
        <v>120</v>
      </c>
      <c r="AP2" s="175" t="s">
        <v>121</v>
      </c>
      <c r="AQ2" s="175" t="s">
        <v>122</v>
      </c>
      <c r="AR2" s="175" t="s">
        <v>123</v>
      </c>
      <c r="AS2" s="175" t="s">
        <v>124</v>
      </c>
      <c r="AT2" s="175" t="s">
        <v>125</v>
      </c>
      <c r="AU2" s="182" t="s">
        <v>126</v>
      </c>
      <c r="AV2" s="175" t="s">
        <v>127</v>
      </c>
      <c r="AW2" s="175" t="s">
        <v>128</v>
      </c>
      <c r="AX2" s="175" t="s">
        <v>129</v>
      </c>
      <c r="AY2" s="74" t="s">
        <v>14</v>
      </c>
      <c r="AZ2" s="74" t="s">
        <v>15</v>
      </c>
      <c r="BA2" s="74" t="s">
        <v>16</v>
      </c>
      <c r="BB2" s="74" t="s">
        <v>17</v>
      </c>
      <c r="BC2" s="74" t="s">
        <v>18</v>
      </c>
      <c r="BD2" s="74" t="s">
        <v>19</v>
      </c>
      <c r="BE2" s="74" t="s">
        <v>130</v>
      </c>
      <c r="BF2" s="74" t="s">
        <v>4</v>
      </c>
      <c r="BG2" s="74" t="s">
        <v>5</v>
      </c>
      <c r="BH2" s="74" t="s">
        <v>22</v>
      </c>
      <c r="BI2" s="74" t="s">
        <v>23</v>
      </c>
      <c r="BJ2" s="74" t="s">
        <v>24</v>
      </c>
      <c r="BK2" s="74" t="s">
        <v>8</v>
      </c>
      <c r="BL2" s="74" t="s">
        <v>7</v>
      </c>
      <c r="BM2" s="74" t="s">
        <v>20</v>
      </c>
      <c r="BN2" s="74" t="s">
        <v>21</v>
      </c>
      <c r="BO2" s="74" t="s">
        <v>25</v>
      </c>
      <c r="BP2" s="74" t="s">
        <v>69</v>
      </c>
      <c r="BQ2" s="74" t="s">
        <v>67</v>
      </c>
      <c r="BR2" s="74" t="s">
        <v>68</v>
      </c>
      <c r="BS2" s="74" t="s">
        <v>44</v>
      </c>
      <c r="BT2" s="76"/>
    </row>
    <row r="3" spans="1:72" ht="30.75" thickBot="1" x14ac:dyDescent="0.3">
      <c r="A3" s="244">
        <v>21259147</v>
      </c>
      <c r="B3" s="243">
        <v>45084</v>
      </c>
      <c r="C3" s="243"/>
      <c r="D3" s="243">
        <v>45083</v>
      </c>
      <c r="E3" s="244" t="s">
        <v>134</v>
      </c>
      <c r="F3" s="244" t="s">
        <v>135</v>
      </c>
      <c r="G3" s="244" t="s">
        <v>136</v>
      </c>
      <c r="H3" s="244" t="s">
        <v>137</v>
      </c>
      <c r="I3" s="244" t="s">
        <v>138</v>
      </c>
      <c r="J3" s="244">
        <v>21259147</v>
      </c>
      <c r="K3" s="244" t="s">
        <v>6</v>
      </c>
      <c r="L3" s="244" t="s">
        <v>6</v>
      </c>
      <c r="M3" s="244" t="s">
        <v>6</v>
      </c>
      <c r="N3" s="244" t="s">
        <v>6</v>
      </c>
      <c r="O3" s="244" t="s">
        <v>6</v>
      </c>
      <c r="P3" s="244" t="s">
        <v>6</v>
      </c>
      <c r="Q3" s="244" t="s">
        <v>6</v>
      </c>
      <c r="R3" s="244" t="s">
        <v>6</v>
      </c>
      <c r="S3" s="244" t="s">
        <v>6</v>
      </c>
      <c r="T3" s="244" t="s">
        <v>6</v>
      </c>
      <c r="U3" s="244" t="s">
        <v>6</v>
      </c>
      <c r="V3" s="244" t="s">
        <v>6</v>
      </c>
      <c r="W3" s="244" t="s">
        <v>6</v>
      </c>
      <c r="X3" s="244" t="s">
        <v>6</v>
      </c>
      <c r="Y3" s="244" t="s">
        <v>139</v>
      </c>
      <c r="Z3" s="244" t="s">
        <v>139</v>
      </c>
      <c r="AA3" s="244" t="s">
        <v>140</v>
      </c>
      <c r="AB3" s="244" t="s">
        <v>140</v>
      </c>
      <c r="AC3" s="244" t="s">
        <v>140</v>
      </c>
      <c r="AD3" s="244" t="s">
        <v>140</v>
      </c>
      <c r="AE3" s="244" t="s">
        <v>140</v>
      </c>
      <c r="AF3" s="244" t="s">
        <v>140</v>
      </c>
      <c r="AG3" s="244" t="s">
        <v>140</v>
      </c>
      <c r="AH3" s="244" t="s">
        <v>140</v>
      </c>
      <c r="AI3" s="244" t="s">
        <v>140</v>
      </c>
      <c r="AJ3" s="244" t="s">
        <v>140</v>
      </c>
      <c r="AK3" s="244" t="s">
        <v>140</v>
      </c>
      <c r="AL3" s="244" t="s">
        <v>140</v>
      </c>
      <c r="AM3" s="244" t="s">
        <v>140</v>
      </c>
      <c r="AN3" s="244" t="s">
        <v>140</v>
      </c>
      <c r="AO3" s="244" t="s">
        <v>140</v>
      </c>
      <c r="AP3" s="244" t="s">
        <v>140</v>
      </c>
      <c r="AQ3" s="244" t="s">
        <v>140</v>
      </c>
      <c r="AR3" s="244" t="s">
        <v>140</v>
      </c>
      <c r="AS3" s="244" t="s">
        <v>140</v>
      </c>
      <c r="AT3" s="244" t="s">
        <v>140</v>
      </c>
      <c r="AU3" s="244" t="s">
        <v>140</v>
      </c>
      <c r="AV3" s="244" t="s">
        <v>140</v>
      </c>
      <c r="AW3" s="244" t="s">
        <v>140</v>
      </c>
      <c r="AX3" s="244" t="s">
        <v>140</v>
      </c>
      <c r="AY3" s="244" t="s">
        <v>140</v>
      </c>
      <c r="AZ3" s="244" t="s">
        <v>140</v>
      </c>
      <c r="BA3" s="244" t="s">
        <v>140</v>
      </c>
      <c r="BB3" s="244" t="s">
        <v>140</v>
      </c>
      <c r="BC3" s="244" t="s">
        <v>140</v>
      </c>
      <c r="BD3" s="244" t="s">
        <v>140</v>
      </c>
      <c r="BE3" s="244" t="s">
        <v>140</v>
      </c>
      <c r="BF3" s="245" t="s">
        <v>142</v>
      </c>
      <c r="BG3" s="245" t="s">
        <v>142</v>
      </c>
      <c r="BH3" s="245" t="s">
        <v>142</v>
      </c>
      <c r="BI3" s="245" t="s">
        <v>141</v>
      </c>
      <c r="BJ3" s="245" t="s">
        <v>142</v>
      </c>
      <c r="BK3" s="244"/>
      <c r="BL3" s="244">
        <v>45</v>
      </c>
      <c r="BM3" s="244"/>
      <c r="BN3" s="172">
        <f>IF(AY3="NO",0,$AY$1)+IF(AZ3="NO",0,$AZ$1)+IF(BA3="NO",0,$BA$1)+IF(BB3="NO",0,$BB$1)+IF(BC3="NO",0,$BC$1)+IF(BD3="NO",0,$BD$1)</f>
        <v>100</v>
      </c>
      <c r="BO3" s="172">
        <f>IF(BI3="NO",0,$BI$1)</f>
        <v>100</v>
      </c>
      <c r="BP3" s="172">
        <v>1</v>
      </c>
      <c r="BQ3" s="172" t="s">
        <v>100</v>
      </c>
      <c r="BR3" s="172" t="str">
        <f t="shared" ref="BR3:BR34" si="0">I3</f>
        <v>Brayan Plateros</v>
      </c>
      <c r="BS3" s="153"/>
    </row>
    <row r="4" spans="1:72" ht="15.75" thickBot="1" x14ac:dyDescent="0.3">
      <c r="A4" s="169"/>
      <c r="B4" s="170"/>
      <c r="C4" s="170"/>
      <c r="D4" s="170"/>
      <c r="E4" s="171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69"/>
      <c r="AH4" s="169"/>
      <c r="AI4" s="169"/>
      <c r="AJ4" s="169"/>
      <c r="AK4" s="169"/>
      <c r="AL4" s="169"/>
      <c r="AM4" s="169"/>
      <c r="AN4" s="169"/>
      <c r="AO4" s="169"/>
      <c r="AP4" s="169"/>
      <c r="AQ4" s="169"/>
      <c r="AR4" s="169"/>
      <c r="AS4" s="169"/>
      <c r="AT4" s="169"/>
      <c r="AU4" s="169"/>
      <c r="AV4" s="169"/>
      <c r="AW4" s="169"/>
      <c r="AX4" s="169"/>
      <c r="AY4" s="169"/>
      <c r="AZ4" s="169"/>
      <c r="BA4" s="169"/>
      <c r="BB4" s="169"/>
      <c r="BC4" s="169"/>
      <c r="BD4" s="169"/>
      <c r="BE4" s="169"/>
      <c r="BF4" s="111"/>
      <c r="BG4" s="111"/>
      <c r="BH4" s="169"/>
      <c r="BI4" s="169"/>
      <c r="BJ4" s="169"/>
      <c r="BK4" s="172">
        <f t="shared" ref="BK3:BK34" si="1">IF(K4="NO",0,$K$1)+IF(L4="NO",0,$L$1)+IF(M4="NO",0,$M$1)+IF(N4="NO",0,$N$1)+IF(O4="NO",0,$O$1)+IF(P4="NO",0,$P$1)+IF(Q4="NO",0,$Q$1)+IF(R4="NO",0,$R$1)+IF(S4="NO",0,$S$1)+IF(T4="NO",0,$T$1)+IF(U4="NO",0,$U$1)+IF(V4="NO",0,$V$1)+IF(W4="NO",0,$W$1)</f>
        <v>100</v>
      </c>
      <c r="BL4" s="172">
        <f t="shared" ref="BL4:BL67" si="2">IF(X4="NO",0,$X$1)+IF(Y4="NO",0,$Y$1)+IF(Z4="NO",0,$Z$1)+IF(AA4="NO",0,$AA$1)+IF(AB4="NO",0,$AB$1)+IF(AC4="NO",0,$AC$1)+IF(AD4="NO",0,$AD$1)+IF(AE4="NO",0,$AE$1)+IF(AF4="NO",0,$AF$1)+IF(AG4="NO",0,$AG$1)+IF(AH4="NO",0,$AH$1)+IF(AI4="NO",0,$AI$1)+IF(AJ4="NO",0,$AJ$1)+IF(AK4="NO",0,$AK$1)+IF(AL4="NO",0,$AL$1)+IF(AM4="NO",0,$AM$1)</f>
        <v>100</v>
      </c>
      <c r="BM4" s="172">
        <f t="shared" ref="BM4:BM67" si="3">IF(AN4="NO",0,$AN$1)+IF(AO4="NO",0,$AO$1)+IF(AP4="NO",0,$AP$1)+IF(AQ4="NO",0,$AQ$1)+IF(AR4="NO",0,$AR$1)+IF(AS4="NO",0,$AS$1)+IF(AT4="NO",0,$AT$1)+IF(AU4="NO",0,$AU$1)+IF(AV4="NO",0,$AV$1)+IF(AW4="NO",0,$AW$1)+IF(AX4="NO",0,$AX$1)</f>
        <v>100</v>
      </c>
      <c r="BN4" s="172">
        <f t="shared" ref="BN4:BN67" si="4">IF(AY4="NO",0,$AY$1)+IF(AZ4="NO",0,$AZ$1)+IF(BA4="NO",0,$BA$1)+IF(BB4="NO",0,$BB$1)+IF(BC4="NO",0,$BC$1)+IF(BD4="NO",0,$BD$1)</f>
        <v>100</v>
      </c>
      <c r="BO4" s="172">
        <f t="shared" ref="BO4:BO67" si="5">IF(BI4="NO",0,$BI$1)</f>
        <v>100</v>
      </c>
      <c r="BP4" s="172">
        <v>2</v>
      </c>
      <c r="BQ4" s="172" t="s">
        <v>100</v>
      </c>
      <c r="BR4" s="172">
        <f t="shared" si="0"/>
        <v>0</v>
      </c>
      <c r="BS4" s="153"/>
    </row>
    <row r="5" spans="1:72" ht="15.75" thickBot="1" x14ac:dyDescent="0.3">
      <c r="A5" s="169"/>
      <c r="B5" s="170"/>
      <c r="C5" s="170"/>
      <c r="D5" s="170"/>
      <c r="E5" s="171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69"/>
      <c r="BC5" s="169"/>
      <c r="BD5" s="169"/>
      <c r="BE5" s="169"/>
      <c r="BF5" s="111"/>
      <c r="BG5" s="111"/>
      <c r="BH5" s="169"/>
      <c r="BI5" s="169"/>
      <c r="BJ5" s="169"/>
      <c r="BK5" s="172">
        <f t="shared" si="1"/>
        <v>100</v>
      </c>
      <c r="BL5" s="172">
        <f t="shared" si="2"/>
        <v>100</v>
      </c>
      <c r="BM5" s="172">
        <f t="shared" si="3"/>
        <v>100</v>
      </c>
      <c r="BN5" s="172">
        <f t="shared" si="4"/>
        <v>100</v>
      </c>
      <c r="BO5" s="172">
        <f t="shared" si="5"/>
        <v>100</v>
      </c>
      <c r="BP5" s="172">
        <v>3</v>
      </c>
      <c r="BQ5" s="172" t="s">
        <v>100</v>
      </c>
      <c r="BR5" s="172">
        <f t="shared" si="0"/>
        <v>0</v>
      </c>
      <c r="BS5" s="153"/>
    </row>
    <row r="6" spans="1:72" ht="30.75" thickBot="1" x14ac:dyDescent="0.3">
      <c r="A6" s="169"/>
      <c r="B6" s="170"/>
      <c r="C6" s="170"/>
      <c r="D6" s="170"/>
      <c r="E6" s="171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169"/>
      <c r="AP6" s="169"/>
      <c r="AQ6" s="169"/>
      <c r="AR6" s="169"/>
      <c r="AS6" s="169"/>
      <c r="AT6" s="169"/>
      <c r="AU6" s="169"/>
      <c r="AV6" s="169"/>
      <c r="AW6" s="169"/>
      <c r="AX6" s="169"/>
      <c r="AY6" s="169"/>
      <c r="AZ6" s="169"/>
      <c r="BA6" s="169"/>
      <c r="BB6" s="169"/>
      <c r="BC6" s="169"/>
      <c r="BD6" s="169"/>
      <c r="BE6" s="169"/>
      <c r="BF6" s="111"/>
      <c r="BG6" s="111"/>
      <c r="BH6" s="169"/>
      <c r="BI6" s="169"/>
      <c r="BJ6" s="169"/>
      <c r="BK6" s="172">
        <f t="shared" si="1"/>
        <v>100</v>
      </c>
      <c r="BL6" s="172">
        <f t="shared" si="2"/>
        <v>100</v>
      </c>
      <c r="BM6" s="172">
        <f t="shared" si="3"/>
        <v>100</v>
      </c>
      <c r="BN6" s="172">
        <f t="shared" si="4"/>
        <v>100</v>
      </c>
      <c r="BO6" s="172">
        <f t="shared" si="5"/>
        <v>100</v>
      </c>
      <c r="BP6" s="172">
        <v>4</v>
      </c>
      <c r="BQ6" s="172" t="s">
        <v>100</v>
      </c>
      <c r="BR6" s="172">
        <f t="shared" si="0"/>
        <v>0</v>
      </c>
      <c r="BS6" s="153"/>
    </row>
    <row r="7" spans="1:72" ht="30.75" thickBot="1" x14ac:dyDescent="0.3">
      <c r="A7" s="169"/>
      <c r="B7" s="170"/>
      <c r="C7" s="170"/>
      <c r="D7" s="170"/>
      <c r="E7" s="171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69"/>
      <c r="AO7" s="169"/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69"/>
      <c r="BD7" s="169"/>
      <c r="BE7" s="169"/>
      <c r="BF7" s="111"/>
      <c r="BG7" s="111"/>
      <c r="BH7" s="169"/>
      <c r="BI7" s="169"/>
      <c r="BJ7" s="169"/>
      <c r="BK7" s="172">
        <f t="shared" si="1"/>
        <v>100</v>
      </c>
      <c r="BL7" s="172">
        <f t="shared" si="2"/>
        <v>100</v>
      </c>
      <c r="BM7" s="172">
        <f t="shared" si="3"/>
        <v>100</v>
      </c>
      <c r="BN7" s="172">
        <f t="shared" si="4"/>
        <v>100</v>
      </c>
      <c r="BO7" s="172">
        <f t="shared" si="5"/>
        <v>100</v>
      </c>
      <c r="BP7" s="172">
        <v>5</v>
      </c>
      <c r="BQ7" s="172" t="s">
        <v>100</v>
      </c>
      <c r="BR7" s="172">
        <f t="shared" si="0"/>
        <v>0</v>
      </c>
      <c r="BS7" s="153"/>
    </row>
    <row r="8" spans="1:72" ht="30.75" thickBot="1" x14ac:dyDescent="0.3">
      <c r="A8" s="169"/>
      <c r="B8" s="170"/>
      <c r="C8" s="170"/>
      <c r="D8" s="170"/>
      <c r="E8" s="171"/>
      <c r="F8" s="169"/>
      <c r="G8" s="169"/>
      <c r="H8" s="169"/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169"/>
      <c r="AK8" s="169"/>
      <c r="AL8" s="169"/>
      <c r="AM8" s="169"/>
      <c r="AN8" s="169"/>
      <c r="AO8" s="169"/>
      <c r="AP8" s="169"/>
      <c r="AQ8" s="169"/>
      <c r="AR8" s="169"/>
      <c r="AS8" s="169"/>
      <c r="AT8" s="169"/>
      <c r="AU8" s="169"/>
      <c r="AV8" s="169"/>
      <c r="AW8" s="169"/>
      <c r="AX8" s="169"/>
      <c r="AY8" s="169"/>
      <c r="AZ8" s="169"/>
      <c r="BA8" s="169"/>
      <c r="BB8" s="169"/>
      <c r="BC8" s="169"/>
      <c r="BD8" s="169"/>
      <c r="BE8" s="169"/>
      <c r="BF8" s="111"/>
      <c r="BG8" s="111"/>
      <c r="BH8" s="169"/>
      <c r="BI8" s="169"/>
      <c r="BJ8" s="169"/>
      <c r="BK8" s="172">
        <f t="shared" si="1"/>
        <v>100</v>
      </c>
      <c r="BL8" s="172">
        <f t="shared" si="2"/>
        <v>100</v>
      </c>
      <c r="BM8" s="172">
        <f t="shared" si="3"/>
        <v>100</v>
      </c>
      <c r="BN8" s="172">
        <f t="shared" si="4"/>
        <v>100</v>
      </c>
      <c r="BO8" s="172">
        <f t="shared" si="5"/>
        <v>100</v>
      </c>
      <c r="BP8" s="172">
        <v>6</v>
      </c>
      <c r="BQ8" s="172" t="s">
        <v>100</v>
      </c>
      <c r="BR8" s="172">
        <f t="shared" si="0"/>
        <v>0</v>
      </c>
      <c r="BS8" s="153"/>
    </row>
    <row r="9" spans="1:72" ht="30.75" thickBot="1" x14ac:dyDescent="0.3">
      <c r="A9" s="169"/>
      <c r="B9" s="170"/>
      <c r="C9" s="170"/>
      <c r="D9" s="170"/>
      <c r="E9" s="171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9"/>
      <c r="AN9" s="169"/>
      <c r="AO9" s="169"/>
      <c r="AP9" s="169"/>
      <c r="AQ9" s="169"/>
      <c r="AR9" s="169"/>
      <c r="AS9" s="169"/>
      <c r="AT9" s="169"/>
      <c r="AU9" s="169"/>
      <c r="AV9" s="169"/>
      <c r="AW9" s="169"/>
      <c r="AX9" s="169"/>
      <c r="AY9" s="169"/>
      <c r="AZ9" s="169"/>
      <c r="BA9" s="169"/>
      <c r="BB9" s="169"/>
      <c r="BC9" s="169"/>
      <c r="BD9" s="169"/>
      <c r="BE9" s="169"/>
      <c r="BF9" s="111"/>
      <c r="BG9" s="111"/>
      <c r="BH9" s="169"/>
      <c r="BI9" s="169"/>
      <c r="BJ9" s="169"/>
      <c r="BK9" s="172">
        <f t="shared" si="1"/>
        <v>100</v>
      </c>
      <c r="BL9" s="172">
        <f t="shared" si="2"/>
        <v>100</v>
      </c>
      <c r="BM9" s="172">
        <f t="shared" si="3"/>
        <v>100</v>
      </c>
      <c r="BN9" s="172">
        <f t="shared" si="4"/>
        <v>100</v>
      </c>
      <c r="BO9" s="172">
        <f t="shared" si="5"/>
        <v>100</v>
      </c>
      <c r="BP9" s="172">
        <v>7</v>
      </c>
      <c r="BQ9" s="172" t="s">
        <v>100</v>
      </c>
      <c r="BR9" s="172">
        <f t="shared" si="0"/>
        <v>0</v>
      </c>
      <c r="BS9" s="153"/>
    </row>
    <row r="10" spans="1:72" ht="30.75" thickBot="1" x14ac:dyDescent="0.3">
      <c r="A10" s="169"/>
      <c r="B10" s="170"/>
      <c r="C10" s="170"/>
      <c r="D10" s="170"/>
      <c r="E10" s="171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69"/>
      <c r="AX10" s="169"/>
      <c r="AY10" s="169"/>
      <c r="AZ10" s="169"/>
      <c r="BA10" s="169"/>
      <c r="BB10" s="169"/>
      <c r="BC10" s="169"/>
      <c r="BD10" s="169"/>
      <c r="BE10" s="169"/>
      <c r="BF10" s="111"/>
      <c r="BG10" s="111"/>
      <c r="BH10" s="169"/>
      <c r="BI10" s="169"/>
      <c r="BJ10" s="169"/>
      <c r="BK10" s="172">
        <f t="shared" si="1"/>
        <v>100</v>
      </c>
      <c r="BL10" s="172">
        <f t="shared" si="2"/>
        <v>100</v>
      </c>
      <c r="BM10" s="172">
        <f t="shared" si="3"/>
        <v>100</v>
      </c>
      <c r="BN10" s="172">
        <f t="shared" si="4"/>
        <v>100</v>
      </c>
      <c r="BO10" s="172">
        <f t="shared" si="5"/>
        <v>100</v>
      </c>
      <c r="BP10" s="172">
        <v>8</v>
      </c>
      <c r="BQ10" s="172" t="s">
        <v>100</v>
      </c>
      <c r="BR10" s="172">
        <f t="shared" si="0"/>
        <v>0</v>
      </c>
      <c r="BS10" s="153"/>
    </row>
    <row r="11" spans="1:72" ht="30.75" thickBot="1" x14ac:dyDescent="0.3">
      <c r="A11" s="169"/>
      <c r="B11" s="170"/>
      <c r="C11" s="170"/>
      <c r="D11" s="170"/>
      <c r="E11" s="171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11"/>
      <c r="BG11" s="111"/>
      <c r="BH11" s="169"/>
      <c r="BI11" s="169"/>
      <c r="BJ11" s="169"/>
      <c r="BK11" s="172">
        <f t="shared" si="1"/>
        <v>100</v>
      </c>
      <c r="BL11" s="172">
        <f t="shared" si="2"/>
        <v>100</v>
      </c>
      <c r="BM11" s="172">
        <f t="shared" si="3"/>
        <v>100</v>
      </c>
      <c r="BN11" s="172">
        <f t="shared" si="4"/>
        <v>100</v>
      </c>
      <c r="BO11" s="172">
        <f t="shared" si="5"/>
        <v>100</v>
      </c>
      <c r="BP11" s="172">
        <v>9</v>
      </c>
      <c r="BQ11" s="172" t="s">
        <v>100</v>
      </c>
      <c r="BR11" s="172">
        <f t="shared" si="0"/>
        <v>0</v>
      </c>
      <c r="BS11" s="153"/>
    </row>
    <row r="12" spans="1:72" ht="30.75" thickBot="1" x14ac:dyDescent="0.3">
      <c r="A12" s="169"/>
      <c r="B12" s="170"/>
      <c r="C12" s="170"/>
      <c r="D12" s="170"/>
      <c r="E12" s="171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169"/>
      <c r="AM12" s="169"/>
      <c r="AN12" s="169"/>
      <c r="AO12" s="169"/>
      <c r="AP12" s="169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69"/>
      <c r="BE12" s="169"/>
      <c r="BF12" s="111"/>
      <c r="BG12" s="111"/>
      <c r="BH12" s="169"/>
      <c r="BI12" s="169"/>
      <c r="BJ12" s="169"/>
      <c r="BK12" s="172">
        <f t="shared" si="1"/>
        <v>100</v>
      </c>
      <c r="BL12" s="172">
        <f t="shared" si="2"/>
        <v>100</v>
      </c>
      <c r="BM12" s="172">
        <f t="shared" si="3"/>
        <v>100</v>
      </c>
      <c r="BN12" s="172">
        <f t="shared" si="4"/>
        <v>100</v>
      </c>
      <c r="BO12" s="172">
        <f t="shared" si="5"/>
        <v>100</v>
      </c>
      <c r="BP12" s="172">
        <v>10</v>
      </c>
      <c r="BQ12" s="172" t="s">
        <v>100</v>
      </c>
      <c r="BR12" s="172">
        <f t="shared" si="0"/>
        <v>0</v>
      </c>
      <c r="BS12" s="153"/>
    </row>
    <row r="13" spans="1:72" ht="30.75" thickBot="1" x14ac:dyDescent="0.3">
      <c r="A13" s="169"/>
      <c r="B13" s="170"/>
      <c r="C13" s="170"/>
      <c r="D13" s="170"/>
      <c r="E13" s="171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11"/>
      <c r="BG13" s="111"/>
      <c r="BH13" s="169"/>
      <c r="BI13" s="169"/>
      <c r="BJ13" s="169"/>
      <c r="BK13" s="172">
        <f t="shared" si="1"/>
        <v>100</v>
      </c>
      <c r="BL13" s="172">
        <f t="shared" si="2"/>
        <v>100</v>
      </c>
      <c r="BM13" s="172">
        <f t="shared" si="3"/>
        <v>100</v>
      </c>
      <c r="BN13" s="172">
        <f t="shared" si="4"/>
        <v>100</v>
      </c>
      <c r="BO13" s="172">
        <f t="shared" si="5"/>
        <v>100</v>
      </c>
      <c r="BP13" s="172">
        <v>11</v>
      </c>
      <c r="BQ13" s="172" t="s">
        <v>100</v>
      </c>
      <c r="BR13" s="172">
        <f t="shared" si="0"/>
        <v>0</v>
      </c>
      <c r="BS13" s="153"/>
    </row>
    <row r="14" spans="1:72" ht="30.75" thickBot="1" x14ac:dyDescent="0.3">
      <c r="A14" s="169"/>
      <c r="B14" s="170"/>
      <c r="C14" s="170"/>
      <c r="D14" s="170"/>
      <c r="E14" s="171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169"/>
      <c r="AM14" s="169"/>
      <c r="AN14" s="169"/>
      <c r="AO14" s="169"/>
      <c r="AP14" s="169"/>
      <c r="AQ14" s="169"/>
      <c r="AR14" s="169"/>
      <c r="AS14" s="169"/>
      <c r="AT14" s="169"/>
      <c r="AU14" s="169"/>
      <c r="AV14" s="169"/>
      <c r="AW14" s="169"/>
      <c r="AX14" s="169"/>
      <c r="AY14" s="169"/>
      <c r="AZ14" s="169"/>
      <c r="BA14" s="169"/>
      <c r="BB14" s="169"/>
      <c r="BC14" s="169"/>
      <c r="BD14" s="169"/>
      <c r="BE14" s="169"/>
      <c r="BF14" s="111"/>
      <c r="BG14" s="111"/>
      <c r="BH14" s="169"/>
      <c r="BI14" s="169"/>
      <c r="BJ14" s="169"/>
      <c r="BK14" s="172">
        <f t="shared" si="1"/>
        <v>100</v>
      </c>
      <c r="BL14" s="172">
        <f t="shared" si="2"/>
        <v>100</v>
      </c>
      <c r="BM14" s="172">
        <f t="shared" si="3"/>
        <v>100</v>
      </c>
      <c r="BN14" s="172">
        <f t="shared" si="4"/>
        <v>100</v>
      </c>
      <c r="BO14" s="172">
        <f t="shared" si="5"/>
        <v>100</v>
      </c>
      <c r="BP14" s="172">
        <v>12</v>
      </c>
      <c r="BQ14" s="172" t="s">
        <v>100</v>
      </c>
      <c r="BR14" s="172">
        <f t="shared" si="0"/>
        <v>0</v>
      </c>
      <c r="BS14" s="153"/>
    </row>
    <row r="15" spans="1:72" ht="15.75" thickBot="1" x14ac:dyDescent="0.3">
      <c r="A15" s="169"/>
      <c r="B15" s="170"/>
      <c r="C15" s="170"/>
      <c r="D15" s="170"/>
      <c r="E15" s="171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9"/>
      <c r="AN15" s="169"/>
      <c r="AO15" s="169"/>
      <c r="AP15" s="169"/>
      <c r="AQ15" s="169"/>
      <c r="AR15" s="169"/>
      <c r="AS15" s="169"/>
      <c r="AT15" s="169"/>
      <c r="AU15" s="169"/>
      <c r="AV15" s="169"/>
      <c r="AW15" s="169"/>
      <c r="AX15" s="169"/>
      <c r="AY15" s="169"/>
      <c r="AZ15" s="169"/>
      <c r="BA15" s="169"/>
      <c r="BB15" s="169"/>
      <c r="BC15" s="169"/>
      <c r="BD15" s="169"/>
      <c r="BE15" s="169"/>
      <c r="BF15" s="111"/>
      <c r="BG15" s="111"/>
      <c r="BH15" s="111"/>
      <c r="BI15" s="169"/>
      <c r="BJ15" s="111"/>
      <c r="BK15" s="172">
        <f t="shared" si="1"/>
        <v>100</v>
      </c>
      <c r="BL15" s="172">
        <f t="shared" si="2"/>
        <v>100</v>
      </c>
      <c r="BM15" s="172">
        <f t="shared" si="3"/>
        <v>100</v>
      </c>
      <c r="BN15" s="172">
        <f t="shared" si="4"/>
        <v>100</v>
      </c>
      <c r="BO15" s="172">
        <f t="shared" si="5"/>
        <v>100</v>
      </c>
      <c r="BP15" s="172">
        <v>13</v>
      </c>
      <c r="BQ15" s="172" t="s">
        <v>100</v>
      </c>
      <c r="BR15" s="172">
        <f t="shared" si="0"/>
        <v>0</v>
      </c>
      <c r="BS15" s="153"/>
    </row>
    <row r="16" spans="1:72" ht="15.75" thickBot="1" x14ac:dyDescent="0.3">
      <c r="A16" s="169"/>
      <c r="B16" s="170"/>
      <c r="C16" s="170"/>
      <c r="D16" s="170"/>
      <c r="E16" s="171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11"/>
      <c r="BG16" s="111"/>
      <c r="BH16" s="111"/>
      <c r="BI16" s="169"/>
      <c r="BJ16" s="111"/>
      <c r="BK16" s="172">
        <f t="shared" si="1"/>
        <v>100</v>
      </c>
      <c r="BL16" s="172">
        <f t="shared" si="2"/>
        <v>100</v>
      </c>
      <c r="BM16" s="172">
        <f t="shared" si="3"/>
        <v>100</v>
      </c>
      <c r="BN16" s="172">
        <f t="shared" si="4"/>
        <v>100</v>
      </c>
      <c r="BO16" s="172">
        <f t="shared" si="5"/>
        <v>100</v>
      </c>
      <c r="BP16" s="172">
        <v>14</v>
      </c>
      <c r="BQ16" s="172" t="s">
        <v>100</v>
      </c>
      <c r="BR16" s="172">
        <f t="shared" si="0"/>
        <v>0</v>
      </c>
      <c r="BS16" s="153"/>
    </row>
    <row r="17" spans="1:71" ht="15.75" thickBot="1" x14ac:dyDescent="0.3">
      <c r="A17" s="169"/>
      <c r="B17" s="170"/>
      <c r="C17" s="170"/>
      <c r="D17" s="170"/>
      <c r="E17" s="171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169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69"/>
      <c r="AZ17" s="169"/>
      <c r="BA17" s="169"/>
      <c r="BB17" s="169"/>
      <c r="BC17" s="169"/>
      <c r="BD17" s="169"/>
      <c r="BE17" s="169"/>
      <c r="BF17" s="111"/>
      <c r="BG17" s="111"/>
      <c r="BH17" s="111"/>
      <c r="BI17" s="169"/>
      <c r="BJ17" s="111"/>
      <c r="BK17" s="172">
        <f t="shared" si="1"/>
        <v>100</v>
      </c>
      <c r="BL17" s="172">
        <f t="shared" si="2"/>
        <v>100</v>
      </c>
      <c r="BM17" s="172">
        <f t="shared" si="3"/>
        <v>100</v>
      </c>
      <c r="BN17" s="172">
        <f t="shared" si="4"/>
        <v>100</v>
      </c>
      <c r="BO17" s="172">
        <f t="shared" si="5"/>
        <v>100</v>
      </c>
      <c r="BP17" s="172">
        <v>15</v>
      </c>
      <c r="BQ17" s="172" t="s">
        <v>100</v>
      </c>
      <c r="BR17" s="172">
        <f t="shared" si="0"/>
        <v>0</v>
      </c>
      <c r="BS17" s="153"/>
    </row>
    <row r="18" spans="1:71" ht="15.75" thickBot="1" x14ac:dyDescent="0.3">
      <c r="A18" s="169"/>
      <c r="B18" s="170"/>
      <c r="C18" s="170"/>
      <c r="D18" s="170"/>
      <c r="E18" s="171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169"/>
      <c r="AM18" s="169"/>
      <c r="AN18" s="169"/>
      <c r="AO18" s="169"/>
      <c r="AP18" s="169"/>
      <c r="AQ18" s="169"/>
      <c r="AR18" s="169"/>
      <c r="AS18" s="169"/>
      <c r="AT18" s="169"/>
      <c r="AU18" s="169"/>
      <c r="AV18" s="169"/>
      <c r="AW18" s="169"/>
      <c r="AX18" s="169"/>
      <c r="AY18" s="169"/>
      <c r="AZ18" s="169"/>
      <c r="BA18" s="169"/>
      <c r="BB18" s="169"/>
      <c r="BC18" s="169"/>
      <c r="BD18" s="169"/>
      <c r="BE18" s="169"/>
      <c r="BF18" s="111"/>
      <c r="BG18" s="111"/>
      <c r="BH18" s="111"/>
      <c r="BI18" s="169"/>
      <c r="BJ18" s="111"/>
      <c r="BK18" s="172">
        <f t="shared" si="1"/>
        <v>100</v>
      </c>
      <c r="BL18" s="172">
        <f t="shared" si="2"/>
        <v>100</v>
      </c>
      <c r="BM18" s="172">
        <f t="shared" si="3"/>
        <v>100</v>
      </c>
      <c r="BN18" s="172">
        <f t="shared" si="4"/>
        <v>100</v>
      </c>
      <c r="BO18" s="172">
        <f t="shared" si="5"/>
        <v>100</v>
      </c>
      <c r="BP18" s="172">
        <v>16</v>
      </c>
      <c r="BQ18" s="172" t="s">
        <v>100</v>
      </c>
      <c r="BR18" s="172">
        <f t="shared" si="0"/>
        <v>0</v>
      </c>
      <c r="BS18" s="153"/>
    </row>
    <row r="19" spans="1:71" ht="15.75" thickBot="1" x14ac:dyDescent="0.3">
      <c r="A19" s="169"/>
      <c r="B19" s="170"/>
      <c r="C19" s="170"/>
      <c r="D19" s="170"/>
      <c r="E19" s="171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69"/>
      <c r="AX19" s="169"/>
      <c r="AY19" s="169"/>
      <c r="AZ19" s="169"/>
      <c r="BA19" s="169"/>
      <c r="BB19" s="169"/>
      <c r="BC19" s="169"/>
      <c r="BD19" s="169"/>
      <c r="BE19" s="169"/>
      <c r="BF19" s="111"/>
      <c r="BG19" s="111"/>
      <c r="BH19" s="111"/>
      <c r="BI19" s="169"/>
      <c r="BJ19" s="111"/>
      <c r="BK19" s="172">
        <f t="shared" si="1"/>
        <v>100</v>
      </c>
      <c r="BL19" s="172">
        <f t="shared" si="2"/>
        <v>100</v>
      </c>
      <c r="BM19" s="172">
        <f t="shared" si="3"/>
        <v>100</v>
      </c>
      <c r="BN19" s="172">
        <f t="shared" si="4"/>
        <v>100</v>
      </c>
      <c r="BO19" s="172">
        <f t="shared" si="5"/>
        <v>100</v>
      </c>
      <c r="BP19" s="172">
        <v>17</v>
      </c>
      <c r="BQ19" s="172" t="s">
        <v>100</v>
      </c>
      <c r="BR19" s="172">
        <f t="shared" si="0"/>
        <v>0</v>
      </c>
      <c r="BS19" s="153"/>
    </row>
    <row r="20" spans="1:71" ht="15.75" thickBot="1" x14ac:dyDescent="0.3">
      <c r="A20" s="169"/>
      <c r="B20" s="170"/>
      <c r="C20" s="170"/>
      <c r="D20" s="170"/>
      <c r="E20" s="171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169"/>
      <c r="AP20" s="169"/>
      <c r="AQ20" s="169"/>
      <c r="AR20" s="169"/>
      <c r="AS20" s="169"/>
      <c r="AT20" s="169"/>
      <c r="AU20" s="169"/>
      <c r="AV20" s="169"/>
      <c r="AW20" s="169"/>
      <c r="AX20" s="169"/>
      <c r="AY20" s="169"/>
      <c r="AZ20" s="169"/>
      <c r="BA20" s="169"/>
      <c r="BB20" s="169"/>
      <c r="BC20" s="169"/>
      <c r="BD20" s="169"/>
      <c r="BE20" s="169"/>
      <c r="BF20" s="111"/>
      <c r="BG20" s="111"/>
      <c r="BH20" s="111"/>
      <c r="BI20" s="169"/>
      <c r="BJ20" s="111"/>
      <c r="BK20" s="172">
        <f t="shared" si="1"/>
        <v>100</v>
      </c>
      <c r="BL20" s="172">
        <f t="shared" si="2"/>
        <v>100</v>
      </c>
      <c r="BM20" s="172">
        <f t="shared" si="3"/>
        <v>100</v>
      </c>
      <c r="BN20" s="172">
        <f t="shared" si="4"/>
        <v>100</v>
      </c>
      <c r="BO20" s="172">
        <f t="shared" si="5"/>
        <v>100</v>
      </c>
      <c r="BP20" s="172">
        <v>18</v>
      </c>
      <c r="BQ20" s="172" t="s">
        <v>100</v>
      </c>
      <c r="BR20" s="172">
        <f t="shared" si="0"/>
        <v>0</v>
      </c>
      <c r="BS20" s="153"/>
    </row>
    <row r="21" spans="1:71" ht="15.75" thickBot="1" x14ac:dyDescent="0.3">
      <c r="A21" s="169"/>
      <c r="B21" s="170"/>
      <c r="C21" s="170"/>
      <c r="D21" s="170"/>
      <c r="E21" s="171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69"/>
      <c r="AM21" s="169"/>
      <c r="AN21" s="169"/>
      <c r="AO21" s="169"/>
      <c r="AP21" s="169"/>
      <c r="AQ21" s="169"/>
      <c r="AR21" s="169"/>
      <c r="AS21" s="169"/>
      <c r="AT21" s="169"/>
      <c r="AU21" s="169"/>
      <c r="AV21" s="169"/>
      <c r="AW21" s="169"/>
      <c r="AX21" s="169"/>
      <c r="AY21" s="169"/>
      <c r="AZ21" s="169"/>
      <c r="BA21" s="169"/>
      <c r="BB21" s="169"/>
      <c r="BC21" s="169"/>
      <c r="BD21" s="169"/>
      <c r="BE21" s="169"/>
      <c r="BF21" s="111"/>
      <c r="BG21" s="111"/>
      <c r="BH21" s="111"/>
      <c r="BI21" s="169"/>
      <c r="BJ21" s="111"/>
      <c r="BK21" s="172">
        <f t="shared" si="1"/>
        <v>100</v>
      </c>
      <c r="BL21" s="172">
        <f t="shared" si="2"/>
        <v>100</v>
      </c>
      <c r="BM21" s="172">
        <f t="shared" si="3"/>
        <v>100</v>
      </c>
      <c r="BN21" s="172">
        <f t="shared" si="4"/>
        <v>100</v>
      </c>
      <c r="BO21" s="172">
        <f t="shared" si="5"/>
        <v>100</v>
      </c>
      <c r="BP21" s="172">
        <v>19</v>
      </c>
      <c r="BQ21" s="172" t="s">
        <v>100</v>
      </c>
      <c r="BR21" s="172">
        <f t="shared" si="0"/>
        <v>0</v>
      </c>
      <c r="BS21" s="153"/>
    </row>
    <row r="22" spans="1:71" ht="15.75" thickBot="1" x14ac:dyDescent="0.3">
      <c r="A22" s="169"/>
      <c r="B22" s="170"/>
      <c r="C22" s="170"/>
      <c r="D22" s="170"/>
      <c r="E22" s="171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69"/>
      <c r="AY22" s="169"/>
      <c r="AZ22" s="169"/>
      <c r="BA22" s="169"/>
      <c r="BB22" s="169"/>
      <c r="BC22" s="169"/>
      <c r="BD22" s="169"/>
      <c r="BE22" s="169"/>
      <c r="BF22" s="111"/>
      <c r="BG22" s="111"/>
      <c r="BH22" s="111"/>
      <c r="BI22" s="169"/>
      <c r="BJ22" s="111"/>
      <c r="BK22" s="172">
        <f t="shared" si="1"/>
        <v>100</v>
      </c>
      <c r="BL22" s="172">
        <f t="shared" si="2"/>
        <v>100</v>
      </c>
      <c r="BM22" s="172">
        <f t="shared" si="3"/>
        <v>100</v>
      </c>
      <c r="BN22" s="172">
        <f t="shared" si="4"/>
        <v>100</v>
      </c>
      <c r="BO22" s="172">
        <f t="shared" si="5"/>
        <v>100</v>
      </c>
      <c r="BP22" s="172">
        <v>20</v>
      </c>
      <c r="BQ22" s="172" t="s">
        <v>100</v>
      </c>
      <c r="BR22" s="172">
        <f t="shared" si="0"/>
        <v>0</v>
      </c>
      <c r="BS22" s="153"/>
    </row>
    <row r="23" spans="1:71" ht="15.75" thickBot="1" x14ac:dyDescent="0.3">
      <c r="A23" s="169"/>
      <c r="B23" s="170"/>
      <c r="C23" s="170"/>
      <c r="D23" s="170"/>
      <c r="E23" s="171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69"/>
      <c r="AY23" s="169"/>
      <c r="AZ23" s="169"/>
      <c r="BA23" s="169"/>
      <c r="BB23" s="169"/>
      <c r="BC23" s="169"/>
      <c r="BD23" s="169"/>
      <c r="BE23" s="169"/>
      <c r="BF23" s="111"/>
      <c r="BG23" s="111"/>
      <c r="BH23" s="111"/>
      <c r="BI23" s="169"/>
      <c r="BJ23" s="111"/>
      <c r="BK23" s="172">
        <f t="shared" si="1"/>
        <v>100</v>
      </c>
      <c r="BL23" s="172">
        <f t="shared" si="2"/>
        <v>100</v>
      </c>
      <c r="BM23" s="172">
        <f t="shared" si="3"/>
        <v>100</v>
      </c>
      <c r="BN23" s="172">
        <f t="shared" si="4"/>
        <v>100</v>
      </c>
      <c r="BO23" s="172">
        <f t="shared" si="5"/>
        <v>100</v>
      </c>
      <c r="BP23" s="172">
        <v>21</v>
      </c>
      <c r="BQ23" s="172" t="s">
        <v>100</v>
      </c>
      <c r="BR23" s="172">
        <f t="shared" si="0"/>
        <v>0</v>
      </c>
      <c r="BS23" s="153"/>
    </row>
    <row r="24" spans="1:71" ht="15.75" thickBot="1" x14ac:dyDescent="0.3">
      <c r="A24" s="169"/>
      <c r="B24" s="170"/>
      <c r="C24" s="170"/>
      <c r="D24" s="170"/>
      <c r="E24" s="171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169"/>
      <c r="AM24" s="169"/>
      <c r="AN24" s="169"/>
      <c r="AO24" s="169"/>
      <c r="AP24" s="169"/>
      <c r="AQ24" s="169"/>
      <c r="AR24" s="169"/>
      <c r="AS24" s="169"/>
      <c r="AT24" s="169"/>
      <c r="AU24" s="169"/>
      <c r="AV24" s="169"/>
      <c r="AW24" s="169"/>
      <c r="AX24" s="169"/>
      <c r="AY24" s="169"/>
      <c r="AZ24" s="169"/>
      <c r="BA24" s="169"/>
      <c r="BB24" s="169"/>
      <c r="BC24" s="169"/>
      <c r="BD24" s="169"/>
      <c r="BE24" s="169"/>
      <c r="BF24" s="111"/>
      <c r="BG24" s="111"/>
      <c r="BH24" s="111"/>
      <c r="BI24" s="169"/>
      <c r="BJ24" s="111"/>
      <c r="BK24" s="172">
        <f t="shared" si="1"/>
        <v>100</v>
      </c>
      <c r="BL24" s="172">
        <f t="shared" si="2"/>
        <v>100</v>
      </c>
      <c r="BM24" s="172">
        <f t="shared" si="3"/>
        <v>100</v>
      </c>
      <c r="BN24" s="172">
        <f t="shared" si="4"/>
        <v>100</v>
      </c>
      <c r="BO24" s="172">
        <f t="shared" si="5"/>
        <v>100</v>
      </c>
      <c r="BP24" s="172">
        <v>22</v>
      </c>
      <c r="BQ24" s="172" t="s">
        <v>100</v>
      </c>
      <c r="BR24" s="172">
        <f t="shared" si="0"/>
        <v>0</v>
      </c>
      <c r="BS24" s="153"/>
    </row>
    <row r="25" spans="1:71" ht="15.75" thickBot="1" x14ac:dyDescent="0.3">
      <c r="A25" s="169"/>
      <c r="B25" s="170"/>
      <c r="C25" s="170"/>
      <c r="D25" s="170"/>
      <c r="E25" s="171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169"/>
      <c r="AM25" s="169"/>
      <c r="AN25" s="169"/>
      <c r="AO25" s="169"/>
      <c r="AP25" s="169"/>
      <c r="AQ25" s="169"/>
      <c r="AR25" s="169"/>
      <c r="AS25" s="169"/>
      <c r="AT25" s="169"/>
      <c r="AU25" s="169"/>
      <c r="AV25" s="169"/>
      <c r="AW25" s="169"/>
      <c r="AX25" s="169"/>
      <c r="AY25" s="169"/>
      <c r="AZ25" s="169"/>
      <c r="BA25" s="169"/>
      <c r="BB25" s="169"/>
      <c r="BC25" s="169"/>
      <c r="BD25" s="169"/>
      <c r="BE25" s="169"/>
      <c r="BF25" s="111"/>
      <c r="BG25" s="111"/>
      <c r="BH25" s="111"/>
      <c r="BI25" s="169"/>
      <c r="BJ25" s="111"/>
      <c r="BK25" s="172">
        <f t="shared" si="1"/>
        <v>100</v>
      </c>
      <c r="BL25" s="172">
        <f t="shared" si="2"/>
        <v>100</v>
      </c>
      <c r="BM25" s="172">
        <f t="shared" si="3"/>
        <v>100</v>
      </c>
      <c r="BN25" s="172">
        <f t="shared" si="4"/>
        <v>100</v>
      </c>
      <c r="BO25" s="172">
        <f t="shared" si="5"/>
        <v>100</v>
      </c>
      <c r="BP25" s="172">
        <v>23</v>
      </c>
      <c r="BQ25" s="172" t="s">
        <v>100</v>
      </c>
      <c r="BR25" s="172">
        <f t="shared" si="0"/>
        <v>0</v>
      </c>
      <c r="BS25" s="153"/>
    </row>
    <row r="26" spans="1:71" ht="15.75" thickBot="1" x14ac:dyDescent="0.3">
      <c r="A26" s="169"/>
      <c r="B26" s="170"/>
      <c r="C26" s="170"/>
      <c r="D26" s="170"/>
      <c r="E26" s="171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9"/>
      <c r="AN26" s="169"/>
      <c r="AO26" s="169"/>
      <c r="AP26" s="169"/>
      <c r="AQ26" s="169"/>
      <c r="AR26" s="169"/>
      <c r="AS26" s="169"/>
      <c r="AT26" s="169"/>
      <c r="AU26" s="169"/>
      <c r="AV26" s="169"/>
      <c r="AW26" s="169"/>
      <c r="AX26" s="169"/>
      <c r="AY26" s="169"/>
      <c r="AZ26" s="169"/>
      <c r="BA26" s="169"/>
      <c r="BB26" s="169"/>
      <c r="BC26" s="169"/>
      <c r="BD26" s="169"/>
      <c r="BE26" s="169"/>
      <c r="BF26" s="111"/>
      <c r="BG26" s="111"/>
      <c r="BH26" s="111"/>
      <c r="BI26" s="169"/>
      <c r="BJ26" s="111"/>
      <c r="BK26" s="172">
        <f t="shared" si="1"/>
        <v>100</v>
      </c>
      <c r="BL26" s="172">
        <f t="shared" si="2"/>
        <v>100</v>
      </c>
      <c r="BM26" s="172">
        <f t="shared" si="3"/>
        <v>100</v>
      </c>
      <c r="BN26" s="172">
        <f t="shared" si="4"/>
        <v>100</v>
      </c>
      <c r="BO26" s="172">
        <f t="shared" si="5"/>
        <v>100</v>
      </c>
      <c r="BP26" s="172">
        <v>24</v>
      </c>
      <c r="BQ26" s="172" t="s">
        <v>100</v>
      </c>
      <c r="BR26" s="172">
        <f t="shared" si="0"/>
        <v>0</v>
      </c>
      <c r="BS26" s="153"/>
    </row>
    <row r="27" spans="1:71" ht="15.75" thickBot="1" x14ac:dyDescent="0.3">
      <c r="A27" s="169"/>
      <c r="B27" s="170"/>
      <c r="C27" s="170"/>
      <c r="D27" s="170"/>
      <c r="E27" s="171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9"/>
      <c r="AN27" s="169"/>
      <c r="AO27" s="169"/>
      <c r="AP27" s="169"/>
      <c r="AQ27" s="169"/>
      <c r="AR27" s="169"/>
      <c r="AS27" s="169"/>
      <c r="AT27" s="169"/>
      <c r="AU27" s="169"/>
      <c r="AV27" s="169"/>
      <c r="AW27" s="169"/>
      <c r="AX27" s="169"/>
      <c r="AY27" s="169"/>
      <c r="AZ27" s="169"/>
      <c r="BA27" s="169"/>
      <c r="BB27" s="169"/>
      <c r="BC27" s="169"/>
      <c r="BD27" s="169"/>
      <c r="BE27" s="169"/>
      <c r="BF27" s="111"/>
      <c r="BG27" s="111"/>
      <c r="BH27" s="111"/>
      <c r="BI27" s="169"/>
      <c r="BJ27" s="111"/>
      <c r="BK27" s="172">
        <f t="shared" si="1"/>
        <v>100</v>
      </c>
      <c r="BL27" s="172">
        <f t="shared" si="2"/>
        <v>100</v>
      </c>
      <c r="BM27" s="172">
        <f t="shared" si="3"/>
        <v>100</v>
      </c>
      <c r="BN27" s="172">
        <f t="shared" si="4"/>
        <v>100</v>
      </c>
      <c r="BO27" s="172">
        <f t="shared" si="5"/>
        <v>100</v>
      </c>
      <c r="BP27" s="172">
        <v>25</v>
      </c>
      <c r="BQ27" s="172" t="s">
        <v>100</v>
      </c>
      <c r="BR27" s="172">
        <f t="shared" si="0"/>
        <v>0</v>
      </c>
      <c r="BS27" s="153"/>
    </row>
    <row r="28" spans="1:71" ht="15.75" thickBot="1" x14ac:dyDescent="0.3">
      <c r="A28" s="169"/>
      <c r="B28" s="170"/>
      <c r="C28" s="170"/>
      <c r="D28" s="170"/>
      <c r="E28" s="171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169"/>
      <c r="AM28" s="169"/>
      <c r="AN28" s="169"/>
      <c r="AO28" s="169"/>
      <c r="AP28" s="169"/>
      <c r="AQ28" s="169"/>
      <c r="AR28" s="169"/>
      <c r="AS28" s="169"/>
      <c r="AT28" s="169"/>
      <c r="AU28" s="169"/>
      <c r="AV28" s="169"/>
      <c r="AW28" s="169"/>
      <c r="AX28" s="169"/>
      <c r="AY28" s="169"/>
      <c r="AZ28" s="169"/>
      <c r="BA28" s="169"/>
      <c r="BB28" s="169"/>
      <c r="BC28" s="169"/>
      <c r="BD28" s="169"/>
      <c r="BE28" s="169"/>
      <c r="BF28" s="111"/>
      <c r="BG28" s="111"/>
      <c r="BH28" s="111"/>
      <c r="BI28" s="169"/>
      <c r="BJ28" s="111"/>
      <c r="BK28" s="172">
        <f t="shared" si="1"/>
        <v>100</v>
      </c>
      <c r="BL28" s="172">
        <f t="shared" si="2"/>
        <v>100</v>
      </c>
      <c r="BM28" s="172">
        <f t="shared" si="3"/>
        <v>100</v>
      </c>
      <c r="BN28" s="172">
        <f t="shared" si="4"/>
        <v>100</v>
      </c>
      <c r="BO28" s="172">
        <f t="shared" si="5"/>
        <v>100</v>
      </c>
      <c r="BP28" s="172">
        <v>26</v>
      </c>
      <c r="BQ28" s="172" t="s">
        <v>100</v>
      </c>
      <c r="BR28" s="172">
        <f t="shared" si="0"/>
        <v>0</v>
      </c>
      <c r="BS28" s="153"/>
    </row>
    <row r="29" spans="1:71" ht="15.75" thickBot="1" x14ac:dyDescent="0.3">
      <c r="A29" s="169"/>
      <c r="B29" s="170"/>
      <c r="C29" s="170"/>
      <c r="D29" s="170"/>
      <c r="E29" s="171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169"/>
      <c r="AM29" s="169"/>
      <c r="AN29" s="169"/>
      <c r="AO29" s="169"/>
      <c r="AP29" s="169"/>
      <c r="AQ29" s="169"/>
      <c r="AR29" s="169"/>
      <c r="AS29" s="169"/>
      <c r="AT29" s="169"/>
      <c r="AU29" s="169"/>
      <c r="AV29" s="169"/>
      <c r="AW29" s="169"/>
      <c r="AX29" s="169"/>
      <c r="AY29" s="169"/>
      <c r="AZ29" s="169"/>
      <c r="BA29" s="169"/>
      <c r="BB29" s="169"/>
      <c r="BC29" s="169"/>
      <c r="BD29" s="169"/>
      <c r="BE29" s="169"/>
      <c r="BF29" s="111"/>
      <c r="BG29" s="111"/>
      <c r="BH29" s="111"/>
      <c r="BI29" s="169"/>
      <c r="BJ29" s="111"/>
      <c r="BK29" s="172">
        <f t="shared" si="1"/>
        <v>100</v>
      </c>
      <c r="BL29" s="172">
        <f t="shared" si="2"/>
        <v>100</v>
      </c>
      <c r="BM29" s="172">
        <f t="shared" si="3"/>
        <v>100</v>
      </c>
      <c r="BN29" s="172">
        <f t="shared" si="4"/>
        <v>100</v>
      </c>
      <c r="BO29" s="172">
        <f t="shared" si="5"/>
        <v>100</v>
      </c>
      <c r="BP29" s="172">
        <v>27</v>
      </c>
      <c r="BQ29" s="172" t="s">
        <v>100</v>
      </c>
      <c r="BR29" s="172">
        <f t="shared" si="0"/>
        <v>0</v>
      </c>
      <c r="BS29" s="153"/>
    </row>
    <row r="30" spans="1:71" ht="15.75" thickBot="1" x14ac:dyDescent="0.3">
      <c r="A30" s="169"/>
      <c r="B30" s="170"/>
      <c r="C30" s="170"/>
      <c r="D30" s="170"/>
      <c r="E30" s="171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  <c r="AP30" s="169"/>
      <c r="AQ30" s="169"/>
      <c r="AR30" s="169"/>
      <c r="AS30" s="169"/>
      <c r="AT30" s="169"/>
      <c r="AU30" s="169"/>
      <c r="AV30" s="169"/>
      <c r="AW30" s="169"/>
      <c r="AX30" s="169"/>
      <c r="AY30" s="169"/>
      <c r="AZ30" s="169"/>
      <c r="BA30" s="169"/>
      <c r="BB30" s="169"/>
      <c r="BC30" s="169"/>
      <c r="BD30" s="169"/>
      <c r="BE30" s="169"/>
      <c r="BF30" s="111"/>
      <c r="BG30" s="111"/>
      <c r="BH30" s="111"/>
      <c r="BI30" s="169"/>
      <c r="BJ30" s="111"/>
      <c r="BK30" s="172">
        <f t="shared" si="1"/>
        <v>100</v>
      </c>
      <c r="BL30" s="172">
        <f t="shared" si="2"/>
        <v>100</v>
      </c>
      <c r="BM30" s="172">
        <f t="shared" si="3"/>
        <v>100</v>
      </c>
      <c r="BN30" s="172">
        <f t="shared" si="4"/>
        <v>100</v>
      </c>
      <c r="BO30" s="172">
        <f t="shared" si="5"/>
        <v>100</v>
      </c>
      <c r="BP30" s="172">
        <v>28</v>
      </c>
      <c r="BQ30" s="172" t="s">
        <v>100</v>
      </c>
      <c r="BR30" s="172">
        <f t="shared" si="0"/>
        <v>0</v>
      </c>
      <c r="BS30" s="153"/>
    </row>
    <row r="31" spans="1:71" ht="15.75" thickBot="1" x14ac:dyDescent="0.3">
      <c r="A31" s="169"/>
      <c r="B31" s="170"/>
      <c r="C31" s="170"/>
      <c r="D31" s="170"/>
      <c r="E31" s="171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  <c r="AP31" s="169"/>
      <c r="AQ31" s="169"/>
      <c r="AR31" s="169"/>
      <c r="AS31" s="169"/>
      <c r="AT31" s="169"/>
      <c r="AU31" s="169"/>
      <c r="AV31" s="169"/>
      <c r="AW31" s="169"/>
      <c r="AX31" s="169"/>
      <c r="AY31" s="169"/>
      <c r="AZ31" s="169"/>
      <c r="BA31" s="169"/>
      <c r="BB31" s="169"/>
      <c r="BC31" s="169"/>
      <c r="BD31" s="169"/>
      <c r="BE31" s="169"/>
      <c r="BF31" s="111"/>
      <c r="BG31" s="111"/>
      <c r="BH31" s="111"/>
      <c r="BI31" s="169"/>
      <c r="BJ31" s="111"/>
      <c r="BK31" s="172">
        <f t="shared" si="1"/>
        <v>100</v>
      </c>
      <c r="BL31" s="172">
        <f t="shared" si="2"/>
        <v>100</v>
      </c>
      <c r="BM31" s="172">
        <f t="shared" si="3"/>
        <v>100</v>
      </c>
      <c r="BN31" s="172">
        <f t="shared" si="4"/>
        <v>100</v>
      </c>
      <c r="BO31" s="172">
        <f t="shared" si="5"/>
        <v>100</v>
      </c>
      <c r="BP31" s="172">
        <v>29</v>
      </c>
      <c r="BQ31" s="172" t="s">
        <v>100</v>
      </c>
      <c r="BR31" s="172">
        <f t="shared" si="0"/>
        <v>0</v>
      </c>
      <c r="BS31" s="153"/>
    </row>
    <row r="32" spans="1:71" ht="15.75" thickBot="1" x14ac:dyDescent="0.3">
      <c r="A32" s="169"/>
      <c r="B32" s="170"/>
      <c r="C32" s="170"/>
      <c r="D32" s="170"/>
      <c r="E32" s="171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  <c r="AQ32" s="169"/>
      <c r="AR32" s="169"/>
      <c r="AS32" s="169"/>
      <c r="AT32" s="169"/>
      <c r="AU32" s="169"/>
      <c r="AV32" s="169"/>
      <c r="AW32" s="169"/>
      <c r="AX32" s="169"/>
      <c r="AY32" s="169"/>
      <c r="AZ32" s="169"/>
      <c r="BA32" s="169"/>
      <c r="BB32" s="169"/>
      <c r="BC32" s="169"/>
      <c r="BD32" s="169"/>
      <c r="BE32" s="169"/>
      <c r="BF32" s="111"/>
      <c r="BG32" s="111"/>
      <c r="BH32" s="111"/>
      <c r="BI32" s="169"/>
      <c r="BJ32" s="111"/>
      <c r="BK32" s="172">
        <f t="shared" si="1"/>
        <v>100</v>
      </c>
      <c r="BL32" s="172">
        <f t="shared" si="2"/>
        <v>100</v>
      </c>
      <c r="BM32" s="172">
        <f t="shared" si="3"/>
        <v>100</v>
      </c>
      <c r="BN32" s="172">
        <f t="shared" si="4"/>
        <v>100</v>
      </c>
      <c r="BO32" s="172">
        <f t="shared" si="5"/>
        <v>100</v>
      </c>
      <c r="BP32" s="172">
        <v>30</v>
      </c>
      <c r="BQ32" s="172" t="s">
        <v>100</v>
      </c>
      <c r="BR32" s="172">
        <f t="shared" si="0"/>
        <v>0</v>
      </c>
      <c r="BS32" s="153"/>
    </row>
    <row r="33" spans="1:71" ht="15.75" thickBot="1" x14ac:dyDescent="0.3">
      <c r="A33" s="169"/>
      <c r="B33" s="170"/>
      <c r="C33" s="170"/>
      <c r="D33" s="170"/>
      <c r="E33" s="171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69"/>
      <c r="AY33" s="169"/>
      <c r="AZ33" s="169"/>
      <c r="BA33" s="169"/>
      <c r="BB33" s="169"/>
      <c r="BC33" s="169"/>
      <c r="BD33" s="169"/>
      <c r="BE33" s="169"/>
      <c r="BF33" s="111"/>
      <c r="BG33" s="111"/>
      <c r="BH33" s="111"/>
      <c r="BI33" s="169"/>
      <c r="BJ33" s="111"/>
      <c r="BK33" s="172">
        <f t="shared" si="1"/>
        <v>100</v>
      </c>
      <c r="BL33" s="172">
        <f t="shared" si="2"/>
        <v>100</v>
      </c>
      <c r="BM33" s="172">
        <f t="shared" si="3"/>
        <v>100</v>
      </c>
      <c r="BN33" s="172">
        <f t="shared" si="4"/>
        <v>100</v>
      </c>
      <c r="BO33" s="172">
        <f t="shared" si="5"/>
        <v>100</v>
      </c>
      <c r="BP33" s="172">
        <v>31</v>
      </c>
      <c r="BQ33" s="172" t="s">
        <v>100</v>
      </c>
      <c r="BR33" s="172">
        <f t="shared" si="0"/>
        <v>0</v>
      </c>
      <c r="BS33" s="153"/>
    </row>
    <row r="34" spans="1:71" ht="15.75" thickBot="1" x14ac:dyDescent="0.3">
      <c r="A34" s="169"/>
      <c r="B34" s="170"/>
      <c r="C34" s="170"/>
      <c r="D34" s="170"/>
      <c r="E34" s="171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69"/>
      <c r="AY34" s="169"/>
      <c r="AZ34" s="169"/>
      <c r="BA34" s="169"/>
      <c r="BB34" s="169"/>
      <c r="BC34" s="169"/>
      <c r="BD34" s="169"/>
      <c r="BE34" s="169"/>
      <c r="BF34" s="111"/>
      <c r="BG34" s="111"/>
      <c r="BH34" s="111"/>
      <c r="BI34" s="169"/>
      <c r="BJ34" s="111"/>
      <c r="BK34" s="172">
        <f t="shared" si="1"/>
        <v>100</v>
      </c>
      <c r="BL34" s="172">
        <f t="shared" si="2"/>
        <v>100</v>
      </c>
      <c r="BM34" s="172">
        <f t="shared" si="3"/>
        <v>100</v>
      </c>
      <c r="BN34" s="172">
        <f t="shared" si="4"/>
        <v>100</v>
      </c>
      <c r="BO34" s="172">
        <f t="shared" si="5"/>
        <v>100</v>
      </c>
      <c r="BP34" s="172">
        <v>32</v>
      </c>
      <c r="BQ34" s="172" t="s">
        <v>100</v>
      </c>
      <c r="BR34" s="172">
        <f t="shared" si="0"/>
        <v>0</v>
      </c>
      <c r="BS34" s="153"/>
    </row>
    <row r="35" spans="1:71" ht="15.75" thickBot="1" x14ac:dyDescent="0.3">
      <c r="A35" s="169"/>
      <c r="B35" s="170"/>
      <c r="C35" s="170"/>
      <c r="D35" s="170"/>
      <c r="E35" s="171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69"/>
      <c r="AY35" s="169"/>
      <c r="AZ35" s="169"/>
      <c r="BA35" s="169"/>
      <c r="BB35" s="169"/>
      <c r="BC35" s="169"/>
      <c r="BD35" s="169"/>
      <c r="BE35" s="169"/>
      <c r="BF35" s="111"/>
      <c r="BG35" s="111"/>
      <c r="BH35" s="111"/>
      <c r="BI35" s="169"/>
      <c r="BJ35" s="111"/>
      <c r="BK35" s="172">
        <f t="shared" ref="BK35:BK66" si="6">IF(K35="NO",0,$K$1)+IF(L35="NO",0,$L$1)+IF(M35="NO",0,$M$1)+IF(N35="NO",0,$N$1)+IF(O35="NO",0,$O$1)+IF(P35="NO",0,$P$1)+IF(Q35="NO",0,$Q$1)+IF(R35="NO",0,$R$1)+IF(S35="NO",0,$S$1)+IF(T35="NO",0,$T$1)+IF(U35="NO",0,$U$1)+IF(V35="NO",0,$V$1)+IF(W35="NO",0,$W$1)</f>
        <v>100</v>
      </c>
      <c r="BL35" s="172">
        <f t="shared" si="2"/>
        <v>100</v>
      </c>
      <c r="BM35" s="172">
        <f t="shared" si="3"/>
        <v>100</v>
      </c>
      <c r="BN35" s="172">
        <f t="shared" si="4"/>
        <v>100</v>
      </c>
      <c r="BO35" s="172">
        <f t="shared" si="5"/>
        <v>100</v>
      </c>
      <c r="BP35" s="172">
        <v>33</v>
      </c>
      <c r="BQ35" s="172" t="s">
        <v>100</v>
      </c>
      <c r="BR35" s="172">
        <f t="shared" ref="BR35:BR67" si="7">I35</f>
        <v>0</v>
      </c>
      <c r="BS35" s="153"/>
    </row>
    <row r="36" spans="1:71" ht="15.75" thickBot="1" x14ac:dyDescent="0.3">
      <c r="A36" s="169"/>
      <c r="B36" s="170"/>
      <c r="C36" s="170"/>
      <c r="D36" s="170"/>
      <c r="E36" s="171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11"/>
      <c r="BG36" s="111"/>
      <c r="BH36" s="111"/>
      <c r="BI36" s="169"/>
      <c r="BJ36" s="111"/>
      <c r="BK36" s="172">
        <f t="shared" si="6"/>
        <v>100</v>
      </c>
      <c r="BL36" s="172">
        <f t="shared" si="2"/>
        <v>100</v>
      </c>
      <c r="BM36" s="172">
        <f t="shared" si="3"/>
        <v>100</v>
      </c>
      <c r="BN36" s="172">
        <f t="shared" si="4"/>
        <v>100</v>
      </c>
      <c r="BO36" s="172">
        <f t="shared" si="5"/>
        <v>100</v>
      </c>
      <c r="BP36" s="172">
        <v>34</v>
      </c>
      <c r="BQ36" s="172" t="s">
        <v>100</v>
      </c>
      <c r="BR36" s="172">
        <f t="shared" si="7"/>
        <v>0</v>
      </c>
      <c r="BS36" s="153"/>
    </row>
    <row r="37" spans="1:71" ht="15.75" thickBot="1" x14ac:dyDescent="0.3">
      <c r="A37" s="169"/>
      <c r="B37" s="170"/>
      <c r="C37" s="170"/>
      <c r="D37" s="170"/>
      <c r="E37" s="171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11"/>
      <c r="BG37" s="111"/>
      <c r="BH37" s="111"/>
      <c r="BI37" s="169"/>
      <c r="BJ37" s="111"/>
      <c r="BK37" s="172">
        <f t="shared" si="6"/>
        <v>100</v>
      </c>
      <c r="BL37" s="172">
        <f t="shared" si="2"/>
        <v>100</v>
      </c>
      <c r="BM37" s="172">
        <f t="shared" si="3"/>
        <v>100</v>
      </c>
      <c r="BN37" s="172">
        <f t="shared" si="4"/>
        <v>100</v>
      </c>
      <c r="BO37" s="172">
        <f t="shared" si="5"/>
        <v>100</v>
      </c>
      <c r="BP37" s="172">
        <v>35</v>
      </c>
      <c r="BQ37" s="172" t="s">
        <v>100</v>
      </c>
      <c r="BR37" s="172">
        <f t="shared" si="7"/>
        <v>0</v>
      </c>
      <c r="BS37" s="153"/>
    </row>
    <row r="38" spans="1:71" ht="15.75" thickBot="1" x14ac:dyDescent="0.3">
      <c r="A38" s="169"/>
      <c r="B38" s="170"/>
      <c r="C38" s="170"/>
      <c r="D38" s="170"/>
      <c r="E38" s="171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69"/>
      <c r="AY38" s="169"/>
      <c r="AZ38" s="169"/>
      <c r="BA38" s="169"/>
      <c r="BB38" s="169"/>
      <c r="BC38" s="169"/>
      <c r="BD38" s="169"/>
      <c r="BE38" s="169"/>
      <c r="BF38" s="111"/>
      <c r="BG38" s="111"/>
      <c r="BH38" s="111"/>
      <c r="BI38" s="169"/>
      <c r="BJ38" s="111"/>
      <c r="BK38" s="172">
        <f t="shared" si="6"/>
        <v>100</v>
      </c>
      <c r="BL38" s="172">
        <f t="shared" si="2"/>
        <v>100</v>
      </c>
      <c r="BM38" s="172">
        <f t="shared" si="3"/>
        <v>100</v>
      </c>
      <c r="BN38" s="172">
        <f t="shared" si="4"/>
        <v>100</v>
      </c>
      <c r="BO38" s="172">
        <f t="shared" si="5"/>
        <v>100</v>
      </c>
      <c r="BP38" s="172">
        <v>36</v>
      </c>
      <c r="BQ38" s="172" t="s">
        <v>100</v>
      </c>
      <c r="BR38" s="172">
        <f t="shared" si="7"/>
        <v>0</v>
      </c>
      <c r="BS38" s="153"/>
    </row>
    <row r="39" spans="1:71" ht="15.75" thickBot="1" x14ac:dyDescent="0.3">
      <c r="A39" s="169"/>
      <c r="B39" s="170"/>
      <c r="C39" s="170"/>
      <c r="D39" s="170"/>
      <c r="E39" s="171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69"/>
      <c r="BC39" s="169"/>
      <c r="BD39" s="169"/>
      <c r="BE39" s="169"/>
      <c r="BF39" s="111"/>
      <c r="BG39" s="111"/>
      <c r="BH39" s="111"/>
      <c r="BI39" s="169"/>
      <c r="BJ39" s="111"/>
      <c r="BK39" s="172">
        <f t="shared" si="6"/>
        <v>100</v>
      </c>
      <c r="BL39" s="172">
        <f t="shared" si="2"/>
        <v>100</v>
      </c>
      <c r="BM39" s="172">
        <f t="shared" si="3"/>
        <v>100</v>
      </c>
      <c r="BN39" s="172">
        <f t="shared" si="4"/>
        <v>100</v>
      </c>
      <c r="BO39" s="172">
        <f t="shared" si="5"/>
        <v>100</v>
      </c>
      <c r="BP39" s="172">
        <v>37</v>
      </c>
      <c r="BQ39" s="172" t="s">
        <v>100</v>
      </c>
      <c r="BR39" s="172">
        <f t="shared" si="7"/>
        <v>0</v>
      </c>
      <c r="BS39" s="153"/>
    </row>
    <row r="40" spans="1:71" ht="15.75" thickBot="1" x14ac:dyDescent="0.3">
      <c r="A40" s="169"/>
      <c r="B40" s="170"/>
      <c r="C40" s="170"/>
      <c r="D40" s="170"/>
      <c r="E40" s="171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  <c r="AP40" s="169"/>
      <c r="AQ40" s="169"/>
      <c r="AR40" s="169"/>
      <c r="AS40" s="169"/>
      <c r="AT40" s="169"/>
      <c r="AU40" s="169"/>
      <c r="AV40" s="169"/>
      <c r="AW40" s="169"/>
      <c r="AX40" s="169"/>
      <c r="AY40" s="169"/>
      <c r="AZ40" s="169"/>
      <c r="BA40" s="169"/>
      <c r="BB40" s="169"/>
      <c r="BC40" s="169"/>
      <c r="BD40" s="169"/>
      <c r="BE40" s="169"/>
      <c r="BF40" s="111"/>
      <c r="BG40" s="111"/>
      <c r="BH40" s="111"/>
      <c r="BI40" s="169"/>
      <c r="BJ40" s="111"/>
      <c r="BK40" s="172">
        <f t="shared" si="6"/>
        <v>100</v>
      </c>
      <c r="BL40" s="172">
        <f t="shared" si="2"/>
        <v>100</v>
      </c>
      <c r="BM40" s="172">
        <f t="shared" si="3"/>
        <v>100</v>
      </c>
      <c r="BN40" s="172">
        <f t="shared" si="4"/>
        <v>100</v>
      </c>
      <c r="BO40" s="172">
        <f t="shared" si="5"/>
        <v>100</v>
      </c>
      <c r="BP40" s="172">
        <v>38</v>
      </c>
      <c r="BQ40" s="172" t="s">
        <v>100</v>
      </c>
      <c r="BR40" s="172">
        <f t="shared" si="7"/>
        <v>0</v>
      </c>
      <c r="BS40" s="153"/>
    </row>
    <row r="41" spans="1:71" ht="15.75" thickBot="1" x14ac:dyDescent="0.3">
      <c r="A41" s="169"/>
      <c r="B41" s="170"/>
      <c r="C41" s="170"/>
      <c r="D41" s="170"/>
      <c r="E41" s="171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  <c r="AP41" s="169"/>
      <c r="AQ41" s="169"/>
      <c r="AR41" s="169"/>
      <c r="AS41" s="169"/>
      <c r="AT41" s="169"/>
      <c r="AU41" s="169"/>
      <c r="AV41" s="169"/>
      <c r="AW41" s="169"/>
      <c r="AX41" s="169"/>
      <c r="AY41" s="169"/>
      <c r="AZ41" s="169"/>
      <c r="BA41" s="169"/>
      <c r="BB41" s="169"/>
      <c r="BC41" s="169"/>
      <c r="BD41" s="169"/>
      <c r="BE41" s="169"/>
      <c r="BF41" s="111"/>
      <c r="BG41" s="111"/>
      <c r="BH41" s="111"/>
      <c r="BI41" s="169"/>
      <c r="BJ41" s="111"/>
      <c r="BK41" s="172">
        <f t="shared" si="6"/>
        <v>100</v>
      </c>
      <c r="BL41" s="172">
        <f t="shared" si="2"/>
        <v>100</v>
      </c>
      <c r="BM41" s="172">
        <f t="shared" si="3"/>
        <v>100</v>
      </c>
      <c r="BN41" s="172">
        <f t="shared" si="4"/>
        <v>100</v>
      </c>
      <c r="BO41" s="172">
        <f t="shared" si="5"/>
        <v>100</v>
      </c>
      <c r="BP41" s="172">
        <v>39</v>
      </c>
      <c r="BQ41" s="172" t="s">
        <v>100</v>
      </c>
      <c r="BR41" s="172">
        <f t="shared" si="7"/>
        <v>0</v>
      </c>
      <c r="BS41" s="153"/>
    </row>
    <row r="42" spans="1:71" ht="15.75" thickBot="1" x14ac:dyDescent="0.3">
      <c r="A42" s="169"/>
      <c r="B42" s="170"/>
      <c r="C42" s="170"/>
      <c r="D42" s="170"/>
      <c r="E42" s="171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  <c r="AP42" s="169"/>
      <c r="AQ42" s="169"/>
      <c r="AR42" s="169"/>
      <c r="AS42" s="169"/>
      <c r="AT42" s="169"/>
      <c r="AU42" s="169"/>
      <c r="AV42" s="169"/>
      <c r="AW42" s="169"/>
      <c r="AX42" s="169"/>
      <c r="AY42" s="169"/>
      <c r="AZ42" s="169"/>
      <c r="BA42" s="169"/>
      <c r="BB42" s="169"/>
      <c r="BC42" s="169"/>
      <c r="BD42" s="169"/>
      <c r="BE42" s="169"/>
      <c r="BF42" s="111"/>
      <c r="BG42" s="111"/>
      <c r="BH42" s="111"/>
      <c r="BI42" s="169"/>
      <c r="BJ42" s="111"/>
      <c r="BK42" s="172">
        <f t="shared" si="6"/>
        <v>100</v>
      </c>
      <c r="BL42" s="172">
        <f t="shared" si="2"/>
        <v>100</v>
      </c>
      <c r="BM42" s="172">
        <f t="shared" si="3"/>
        <v>100</v>
      </c>
      <c r="BN42" s="172">
        <f t="shared" si="4"/>
        <v>100</v>
      </c>
      <c r="BO42" s="172">
        <f t="shared" si="5"/>
        <v>100</v>
      </c>
      <c r="BP42" s="172">
        <v>40</v>
      </c>
      <c r="BQ42" s="172" t="s">
        <v>100</v>
      </c>
      <c r="BR42" s="172">
        <f t="shared" si="7"/>
        <v>0</v>
      </c>
      <c r="BS42" s="153"/>
    </row>
    <row r="43" spans="1:71" ht="15.75" thickBot="1" x14ac:dyDescent="0.3">
      <c r="A43" s="169"/>
      <c r="B43" s="170"/>
      <c r="C43" s="170"/>
      <c r="D43" s="170"/>
      <c r="E43" s="171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  <c r="AP43" s="169"/>
      <c r="AQ43" s="169"/>
      <c r="AR43" s="169"/>
      <c r="AS43" s="169"/>
      <c r="AT43" s="169"/>
      <c r="AU43" s="169"/>
      <c r="AV43" s="169"/>
      <c r="AW43" s="169"/>
      <c r="AX43" s="169"/>
      <c r="AY43" s="169"/>
      <c r="AZ43" s="169"/>
      <c r="BA43" s="169"/>
      <c r="BB43" s="169"/>
      <c r="BC43" s="169"/>
      <c r="BD43" s="169"/>
      <c r="BE43" s="169"/>
      <c r="BF43" s="111"/>
      <c r="BG43" s="111"/>
      <c r="BH43" s="111"/>
      <c r="BI43" s="169"/>
      <c r="BJ43" s="111"/>
      <c r="BK43" s="172">
        <f t="shared" si="6"/>
        <v>100</v>
      </c>
      <c r="BL43" s="172">
        <f t="shared" si="2"/>
        <v>100</v>
      </c>
      <c r="BM43" s="172">
        <f t="shared" si="3"/>
        <v>100</v>
      </c>
      <c r="BN43" s="172">
        <f t="shared" si="4"/>
        <v>100</v>
      </c>
      <c r="BO43" s="172">
        <f t="shared" si="5"/>
        <v>100</v>
      </c>
      <c r="BP43" s="172">
        <v>41</v>
      </c>
      <c r="BQ43" s="172" t="s">
        <v>100</v>
      </c>
      <c r="BR43" s="172">
        <f t="shared" si="7"/>
        <v>0</v>
      </c>
      <c r="BS43" s="153"/>
    </row>
    <row r="44" spans="1:71" ht="15.75" thickBot="1" x14ac:dyDescent="0.3">
      <c r="A44" s="169"/>
      <c r="B44" s="170"/>
      <c r="C44" s="170"/>
      <c r="D44" s="170"/>
      <c r="E44" s="171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  <c r="AP44" s="169"/>
      <c r="AQ44" s="169"/>
      <c r="AR44" s="169"/>
      <c r="AS44" s="169"/>
      <c r="AT44" s="169"/>
      <c r="AU44" s="169"/>
      <c r="AV44" s="169"/>
      <c r="AW44" s="169"/>
      <c r="AX44" s="169"/>
      <c r="AY44" s="169"/>
      <c r="AZ44" s="169"/>
      <c r="BA44" s="169"/>
      <c r="BB44" s="169"/>
      <c r="BC44" s="169"/>
      <c r="BD44" s="169"/>
      <c r="BE44" s="169"/>
      <c r="BF44" s="111"/>
      <c r="BG44" s="111"/>
      <c r="BH44" s="111"/>
      <c r="BI44" s="169"/>
      <c r="BJ44" s="111"/>
      <c r="BK44" s="172">
        <f t="shared" si="6"/>
        <v>100</v>
      </c>
      <c r="BL44" s="172">
        <f t="shared" si="2"/>
        <v>100</v>
      </c>
      <c r="BM44" s="172">
        <f t="shared" si="3"/>
        <v>100</v>
      </c>
      <c r="BN44" s="172">
        <f t="shared" si="4"/>
        <v>100</v>
      </c>
      <c r="BO44" s="172">
        <f t="shared" si="5"/>
        <v>100</v>
      </c>
      <c r="BP44" s="172">
        <v>42</v>
      </c>
      <c r="BQ44" s="172" t="s">
        <v>100</v>
      </c>
      <c r="BR44" s="172">
        <f t="shared" si="7"/>
        <v>0</v>
      </c>
      <c r="BS44" s="153"/>
    </row>
    <row r="45" spans="1:71" ht="15.75" thickBot="1" x14ac:dyDescent="0.3">
      <c r="A45" s="169"/>
      <c r="B45" s="170"/>
      <c r="C45" s="170"/>
      <c r="D45" s="170"/>
      <c r="E45" s="171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  <c r="AP45" s="169"/>
      <c r="AQ45" s="169"/>
      <c r="AR45" s="169"/>
      <c r="AS45" s="169"/>
      <c r="AT45" s="169"/>
      <c r="AU45" s="169"/>
      <c r="AV45" s="169"/>
      <c r="AW45" s="169"/>
      <c r="AX45" s="169"/>
      <c r="AY45" s="169"/>
      <c r="AZ45" s="169"/>
      <c r="BA45" s="169"/>
      <c r="BB45" s="169"/>
      <c r="BC45" s="169"/>
      <c r="BD45" s="169"/>
      <c r="BE45" s="169"/>
      <c r="BF45" s="111"/>
      <c r="BG45" s="111"/>
      <c r="BH45" s="111"/>
      <c r="BI45" s="169"/>
      <c r="BJ45" s="111"/>
      <c r="BK45" s="172">
        <f t="shared" si="6"/>
        <v>100</v>
      </c>
      <c r="BL45" s="172">
        <f t="shared" si="2"/>
        <v>100</v>
      </c>
      <c r="BM45" s="172">
        <f t="shared" si="3"/>
        <v>100</v>
      </c>
      <c r="BN45" s="172">
        <f t="shared" si="4"/>
        <v>100</v>
      </c>
      <c r="BO45" s="172">
        <f t="shared" si="5"/>
        <v>100</v>
      </c>
      <c r="BP45" s="172">
        <v>43</v>
      </c>
      <c r="BQ45" s="172" t="s">
        <v>100</v>
      </c>
      <c r="BR45" s="172">
        <f t="shared" si="7"/>
        <v>0</v>
      </c>
      <c r="BS45" s="153"/>
    </row>
    <row r="46" spans="1:71" ht="15.75" thickBot="1" x14ac:dyDescent="0.3">
      <c r="A46" s="169"/>
      <c r="B46" s="170"/>
      <c r="C46" s="170"/>
      <c r="D46" s="170"/>
      <c r="E46" s="171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  <c r="AP46" s="169"/>
      <c r="AQ46" s="169"/>
      <c r="AR46" s="169"/>
      <c r="AS46" s="169"/>
      <c r="AT46" s="169"/>
      <c r="AU46" s="169"/>
      <c r="AV46" s="169"/>
      <c r="AW46" s="169"/>
      <c r="AX46" s="169"/>
      <c r="AY46" s="169"/>
      <c r="AZ46" s="169"/>
      <c r="BA46" s="169"/>
      <c r="BB46" s="169"/>
      <c r="BC46" s="169"/>
      <c r="BD46" s="169"/>
      <c r="BE46" s="169"/>
      <c r="BF46" s="111"/>
      <c r="BG46" s="111"/>
      <c r="BH46" s="111"/>
      <c r="BI46" s="169"/>
      <c r="BJ46" s="111"/>
      <c r="BK46" s="172">
        <f t="shared" si="6"/>
        <v>100</v>
      </c>
      <c r="BL46" s="172">
        <f t="shared" si="2"/>
        <v>100</v>
      </c>
      <c r="BM46" s="172">
        <f t="shared" si="3"/>
        <v>100</v>
      </c>
      <c r="BN46" s="172">
        <f t="shared" si="4"/>
        <v>100</v>
      </c>
      <c r="BO46" s="172">
        <f t="shared" si="5"/>
        <v>100</v>
      </c>
      <c r="BP46" s="172">
        <v>44</v>
      </c>
      <c r="BQ46" s="172" t="s">
        <v>100</v>
      </c>
      <c r="BR46" s="172">
        <f t="shared" si="7"/>
        <v>0</v>
      </c>
      <c r="BS46" s="153"/>
    </row>
    <row r="47" spans="1:71" ht="15.75" thickBot="1" x14ac:dyDescent="0.3">
      <c r="A47" s="169"/>
      <c r="B47" s="170"/>
      <c r="C47" s="170"/>
      <c r="D47" s="170"/>
      <c r="E47" s="171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  <c r="AP47" s="169"/>
      <c r="AQ47" s="169"/>
      <c r="AR47" s="169"/>
      <c r="AS47" s="169"/>
      <c r="AT47" s="169"/>
      <c r="AU47" s="169"/>
      <c r="AV47" s="169"/>
      <c r="AW47" s="169"/>
      <c r="AX47" s="169"/>
      <c r="AY47" s="169"/>
      <c r="AZ47" s="169"/>
      <c r="BA47" s="169"/>
      <c r="BB47" s="169"/>
      <c r="BC47" s="169"/>
      <c r="BD47" s="169"/>
      <c r="BE47" s="169"/>
      <c r="BF47" s="111"/>
      <c r="BG47" s="111"/>
      <c r="BH47" s="111"/>
      <c r="BI47" s="169"/>
      <c r="BJ47" s="111"/>
      <c r="BK47" s="172">
        <f t="shared" si="6"/>
        <v>100</v>
      </c>
      <c r="BL47" s="172">
        <f t="shared" si="2"/>
        <v>100</v>
      </c>
      <c r="BM47" s="172">
        <f t="shared" si="3"/>
        <v>100</v>
      </c>
      <c r="BN47" s="172">
        <f t="shared" si="4"/>
        <v>100</v>
      </c>
      <c r="BO47" s="172">
        <f t="shared" si="5"/>
        <v>100</v>
      </c>
      <c r="BP47" s="172">
        <v>45</v>
      </c>
      <c r="BQ47" s="172" t="s">
        <v>100</v>
      </c>
      <c r="BR47" s="172">
        <f t="shared" si="7"/>
        <v>0</v>
      </c>
      <c r="BS47" s="153"/>
    </row>
    <row r="48" spans="1:71" ht="15.75" thickBot="1" x14ac:dyDescent="0.3">
      <c r="A48" s="169"/>
      <c r="B48" s="170"/>
      <c r="C48" s="170"/>
      <c r="D48" s="170"/>
      <c r="E48" s="171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  <c r="AP48" s="169"/>
      <c r="AQ48" s="169"/>
      <c r="AR48" s="169"/>
      <c r="AS48" s="169"/>
      <c r="AT48" s="169"/>
      <c r="AU48" s="169"/>
      <c r="AV48" s="169"/>
      <c r="AW48" s="169"/>
      <c r="AX48" s="169"/>
      <c r="AY48" s="169"/>
      <c r="AZ48" s="169"/>
      <c r="BA48" s="169"/>
      <c r="BB48" s="169"/>
      <c r="BC48" s="169"/>
      <c r="BD48" s="169"/>
      <c r="BE48" s="169"/>
      <c r="BF48" s="111"/>
      <c r="BG48" s="111"/>
      <c r="BH48" s="111"/>
      <c r="BI48" s="169"/>
      <c r="BJ48" s="111"/>
      <c r="BK48" s="172">
        <f t="shared" si="6"/>
        <v>100</v>
      </c>
      <c r="BL48" s="172">
        <f t="shared" si="2"/>
        <v>100</v>
      </c>
      <c r="BM48" s="172">
        <f t="shared" si="3"/>
        <v>100</v>
      </c>
      <c r="BN48" s="172">
        <f t="shared" si="4"/>
        <v>100</v>
      </c>
      <c r="BO48" s="172">
        <f t="shared" si="5"/>
        <v>100</v>
      </c>
      <c r="BP48" s="172">
        <v>46</v>
      </c>
      <c r="BQ48" s="172" t="s">
        <v>100</v>
      </c>
      <c r="BR48" s="172">
        <f t="shared" si="7"/>
        <v>0</v>
      </c>
      <c r="BS48" s="153"/>
    </row>
    <row r="49" spans="1:71" ht="15.75" thickBot="1" x14ac:dyDescent="0.3">
      <c r="A49" s="169"/>
      <c r="B49" s="170"/>
      <c r="C49" s="170"/>
      <c r="D49" s="170"/>
      <c r="E49" s="171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  <c r="AP49" s="169"/>
      <c r="AQ49" s="169"/>
      <c r="AR49" s="169"/>
      <c r="AS49" s="169"/>
      <c r="AT49" s="169"/>
      <c r="AU49" s="169"/>
      <c r="AV49" s="169"/>
      <c r="AW49" s="169"/>
      <c r="AX49" s="169"/>
      <c r="AY49" s="169"/>
      <c r="AZ49" s="169"/>
      <c r="BA49" s="169"/>
      <c r="BB49" s="169"/>
      <c r="BC49" s="169"/>
      <c r="BD49" s="169"/>
      <c r="BE49" s="169"/>
      <c r="BF49" s="111"/>
      <c r="BG49" s="111"/>
      <c r="BH49" s="111"/>
      <c r="BI49" s="169"/>
      <c r="BJ49" s="111"/>
      <c r="BK49" s="172">
        <f t="shared" si="6"/>
        <v>100</v>
      </c>
      <c r="BL49" s="172">
        <f t="shared" si="2"/>
        <v>100</v>
      </c>
      <c r="BM49" s="172">
        <f t="shared" si="3"/>
        <v>100</v>
      </c>
      <c r="BN49" s="172">
        <f t="shared" si="4"/>
        <v>100</v>
      </c>
      <c r="BO49" s="172">
        <f t="shared" si="5"/>
        <v>100</v>
      </c>
      <c r="BP49" s="172">
        <v>47</v>
      </c>
      <c r="BQ49" s="172" t="s">
        <v>100</v>
      </c>
      <c r="BR49" s="172">
        <f t="shared" si="7"/>
        <v>0</v>
      </c>
      <c r="BS49" s="153"/>
    </row>
    <row r="50" spans="1:71" ht="15.75" thickBot="1" x14ac:dyDescent="0.3">
      <c r="A50" s="169"/>
      <c r="B50" s="170"/>
      <c r="C50" s="170"/>
      <c r="D50" s="170"/>
      <c r="E50" s="171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  <c r="AP50" s="169"/>
      <c r="AQ50" s="169"/>
      <c r="AR50" s="169"/>
      <c r="AS50" s="169"/>
      <c r="AT50" s="169"/>
      <c r="AU50" s="169"/>
      <c r="AV50" s="169"/>
      <c r="AW50" s="169"/>
      <c r="AX50" s="169"/>
      <c r="AY50" s="169"/>
      <c r="AZ50" s="169"/>
      <c r="BA50" s="169"/>
      <c r="BB50" s="169"/>
      <c r="BC50" s="169"/>
      <c r="BD50" s="169"/>
      <c r="BE50" s="169"/>
      <c r="BF50" s="111"/>
      <c r="BG50" s="111"/>
      <c r="BH50" s="111"/>
      <c r="BI50" s="169"/>
      <c r="BJ50" s="111"/>
      <c r="BK50" s="172">
        <f t="shared" si="6"/>
        <v>100</v>
      </c>
      <c r="BL50" s="172">
        <f t="shared" si="2"/>
        <v>100</v>
      </c>
      <c r="BM50" s="172">
        <f t="shared" si="3"/>
        <v>100</v>
      </c>
      <c r="BN50" s="172">
        <f t="shared" si="4"/>
        <v>100</v>
      </c>
      <c r="BO50" s="172">
        <f t="shared" si="5"/>
        <v>100</v>
      </c>
      <c r="BP50" s="172">
        <v>48</v>
      </c>
      <c r="BQ50" s="172" t="s">
        <v>100</v>
      </c>
      <c r="BR50" s="172">
        <f t="shared" si="7"/>
        <v>0</v>
      </c>
      <c r="BS50" s="153"/>
    </row>
    <row r="51" spans="1:71" ht="15.75" thickBot="1" x14ac:dyDescent="0.3">
      <c r="A51" s="169"/>
      <c r="B51" s="170"/>
      <c r="C51" s="170"/>
      <c r="D51" s="170"/>
      <c r="E51" s="171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  <c r="AP51" s="169"/>
      <c r="AQ51" s="169"/>
      <c r="AR51" s="169"/>
      <c r="AS51" s="169"/>
      <c r="AT51" s="169"/>
      <c r="AU51" s="169"/>
      <c r="AV51" s="169"/>
      <c r="AW51" s="169"/>
      <c r="AX51" s="169"/>
      <c r="AY51" s="169"/>
      <c r="AZ51" s="169"/>
      <c r="BA51" s="169"/>
      <c r="BB51" s="169"/>
      <c r="BC51" s="169"/>
      <c r="BD51" s="169"/>
      <c r="BE51" s="169"/>
      <c r="BF51" s="111"/>
      <c r="BG51" s="111"/>
      <c r="BH51" s="111"/>
      <c r="BI51" s="169"/>
      <c r="BJ51" s="111"/>
      <c r="BK51" s="172">
        <f t="shared" si="6"/>
        <v>100</v>
      </c>
      <c r="BL51" s="172">
        <f t="shared" si="2"/>
        <v>100</v>
      </c>
      <c r="BM51" s="172">
        <f t="shared" si="3"/>
        <v>100</v>
      </c>
      <c r="BN51" s="172">
        <f t="shared" si="4"/>
        <v>100</v>
      </c>
      <c r="BO51" s="172">
        <f t="shared" si="5"/>
        <v>100</v>
      </c>
      <c r="BP51" s="172">
        <v>49</v>
      </c>
      <c r="BQ51" s="172" t="s">
        <v>100</v>
      </c>
      <c r="BR51" s="172">
        <f t="shared" si="7"/>
        <v>0</v>
      </c>
      <c r="BS51" s="153"/>
    </row>
    <row r="52" spans="1:71" ht="15.75" thickBot="1" x14ac:dyDescent="0.3">
      <c r="A52" s="169"/>
      <c r="B52" s="170"/>
      <c r="C52" s="170"/>
      <c r="D52" s="170"/>
      <c r="E52" s="171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  <c r="AP52" s="169"/>
      <c r="AQ52" s="169"/>
      <c r="AR52" s="169"/>
      <c r="AS52" s="169"/>
      <c r="AT52" s="169"/>
      <c r="AU52" s="169"/>
      <c r="AV52" s="169"/>
      <c r="AW52" s="169"/>
      <c r="AX52" s="169"/>
      <c r="AY52" s="169"/>
      <c r="AZ52" s="169"/>
      <c r="BA52" s="169"/>
      <c r="BB52" s="169"/>
      <c r="BC52" s="169"/>
      <c r="BD52" s="169"/>
      <c r="BE52" s="169"/>
      <c r="BF52" s="111"/>
      <c r="BG52" s="111"/>
      <c r="BH52" s="111"/>
      <c r="BI52" s="169"/>
      <c r="BJ52" s="111"/>
      <c r="BK52" s="172">
        <f t="shared" si="6"/>
        <v>100</v>
      </c>
      <c r="BL52" s="172">
        <f t="shared" si="2"/>
        <v>100</v>
      </c>
      <c r="BM52" s="172">
        <f t="shared" si="3"/>
        <v>100</v>
      </c>
      <c r="BN52" s="172">
        <f t="shared" si="4"/>
        <v>100</v>
      </c>
      <c r="BO52" s="172">
        <f t="shared" si="5"/>
        <v>100</v>
      </c>
      <c r="BP52" s="172">
        <v>50</v>
      </c>
      <c r="BQ52" s="172" t="s">
        <v>100</v>
      </c>
      <c r="BR52" s="172">
        <f t="shared" si="7"/>
        <v>0</v>
      </c>
      <c r="BS52" s="153"/>
    </row>
    <row r="53" spans="1:71" ht="15.75" thickBot="1" x14ac:dyDescent="0.3">
      <c r="A53" s="169"/>
      <c r="B53" s="170"/>
      <c r="C53" s="170"/>
      <c r="D53" s="170"/>
      <c r="E53" s="171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  <c r="AP53" s="169"/>
      <c r="AQ53" s="169"/>
      <c r="AR53" s="169"/>
      <c r="AS53" s="169"/>
      <c r="AT53" s="169"/>
      <c r="AU53" s="169"/>
      <c r="AV53" s="169"/>
      <c r="AW53" s="169"/>
      <c r="AX53" s="169"/>
      <c r="AY53" s="169"/>
      <c r="AZ53" s="169"/>
      <c r="BA53" s="169"/>
      <c r="BB53" s="169"/>
      <c r="BC53" s="169"/>
      <c r="BD53" s="169"/>
      <c r="BE53" s="169"/>
      <c r="BF53" s="111"/>
      <c r="BG53" s="111"/>
      <c r="BH53" s="111"/>
      <c r="BI53" s="169"/>
      <c r="BJ53" s="111"/>
      <c r="BK53" s="172">
        <f t="shared" si="6"/>
        <v>100</v>
      </c>
      <c r="BL53" s="172">
        <f t="shared" si="2"/>
        <v>100</v>
      </c>
      <c r="BM53" s="172">
        <f t="shared" si="3"/>
        <v>100</v>
      </c>
      <c r="BN53" s="172">
        <f t="shared" si="4"/>
        <v>100</v>
      </c>
      <c r="BO53" s="172">
        <f t="shared" si="5"/>
        <v>100</v>
      </c>
      <c r="BP53" s="172">
        <v>51</v>
      </c>
      <c r="BQ53" s="172" t="s">
        <v>100</v>
      </c>
      <c r="BR53" s="172">
        <f t="shared" si="7"/>
        <v>0</v>
      </c>
      <c r="BS53" s="153"/>
    </row>
    <row r="54" spans="1:71" ht="15.75" thickBot="1" x14ac:dyDescent="0.3">
      <c r="A54" s="169"/>
      <c r="B54" s="170"/>
      <c r="C54" s="170"/>
      <c r="D54" s="170"/>
      <c r="E54" s="171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  <c r="AP54" s="169"/>
      <c r="AQ54" s="169"/>
      <c r="AR54" s="169"/>
      <c r="AS54" s="169"/>
      <c r="AT54" s="169"/>
      <c r="AU54" s="169"/>
      <c r="AV54" s="169"/>
      <c r="AW54" s="169"/>
      <c r="AX54" s="169"/>
      <c r="AY54" s="169"/>
      <c r="AZ54" s="169"/>
      <c r="BA54" s="169"/>
      <c r="BB54" s="169"/>
      <c r="BC54" s="169"/>
      <c r="BD54" s="169"/>
      <c r="BE54" s="169"/>
      <c r="BF54" s="111"/>
      <c r="BG54" s="111"/>
      <c r="BH54" s="111"/>
      <c r="BI54" s="169"/>
      <c r="BJ54" s="111"/>
      <c r="BK54" s="172">
        <f t="shared" si="6"/>
        <v>100</v>
      </c>
      <c r="BL54" s="172">
        <f t="shared" si="2"/>
        <v>100</v>
      </c>
      <c r="BM54" s="172">
        <f t="shared" si="3"/>
        <v>100</v>
      </c>
      <c r="BN54" s="172">
        <f t="shared" si="4"/>
        <v>100</v>
      </c>
      <c r="BO54" s="172">
        <f t="shared" si="5"/>
        <v>100</v>
      </c>
      <c r="BP54" s="172">
        <v>52</v>
      </c>
      <c r="BQ54" s="172" t="s">
        <v>100</v>
      </c>
      <c r="BR54" s="172">
        <f t="shared" si="7"/>
        <v>0</v>
      </c>
      <c r="BS54" s="153"/>
    </row>
    <row r="55" spans="1:71" ht="15.75" thickBot="1" x14ac:dyDescent="0.3">
      <c r="A55" s="169"/>
      <c r="B55" s="170"/>
      <c r="C55" s="170"/>
      <c r="D55" s="170"/>
      <c r="E55" s="171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  <c r="AX55" s="169"/>
      <c r="AY55" s="169"/>
      <c r="AZ55" s="169"/>
      <c r="BA55" s="169"/>
      <c r="BB55" s="169"/>
      <c r="BC55" s="169"/>
      <c r="BD55" s="169"/>
      <c r="BE55" s="169"/>
      <c r="BF55" s="111"/>
      <c r="BG55" s="111"/>
      <c r="BH55" s="111"/>
      <c r="BI55" s="169"/>
      <c r="BJ55" s="111"/>
      <c r="BK55" s="172">
        <f t="shared" si="6"/>
        <v>100</v>
      </c>
      <c r="BL55" s="172">
        <f t="shared" si="2"/>
        <v>100</v>
      </c>
      <c r="BM55" s="172">
        <f t="shared" si="3"/>
        <v>100</v>
      </c>
      <c r="BN55" s="172">
        <f t="shared" si="4"/>
        <v>100</v>
      </c>
      <c r="BO55" s="172">
        <f t="shared" si="5"/>
        <v>100</v>
      </c>
      <c r="BP55" s="172">
        <v>53</v>
      </c>
      <c r="BQ55" s="172" t="s">
        <v>100</v>
      </c>
      <c r="BR55" s="172">
        <f t="shared" si="7"/>
        <v>0</v>
      </c>
      <c r="BS55" s="153"/>
    </row>
    <row r="56" spans="1:71" ht="15.75" thickBot="1" x14ac:dyDescent="0.3">
      <c r="A56" s="169"/>
      <c r="B56" s="170"/>
      <c r="C56" s="170"/>
      <c r="D56" s="170"/>
      <c r="E56" s="171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  <c r="AP56" s="169"/>
      <c r="AQ56" s="169"/>
      <c r="AR56" s="169"/>
      <c r="AS56" s="169"/>
      <c r="AT56" s="169"/>
      <c r="AU56" s="169"/>
      <c r="AV56" s="169"/>
      <c r="AW56" s="169"/>
      <c r="AX56" s="169"/>
      <c r="AY56" s="169"/>
      <c r="AZ56" s="169"/>
      <c r="BA56" s="169"/>
      <c r="BB56" s="169"/>
      <c r="BC56" s="169"/>
      <c r="BD56" s="169"/>
      <c r="BE56" s="169"/>
      <c r="BF56" s="111"/>
      <c r="BG56" s="111"/>
      <c r="BH56" s="111"/>
      <c r="BI56" s="169"/>
      <c r="BJ56" s="111"/>
      <c r="BK56" s="172">
        <f t="shared" si="6"/>
        <v>100</v>
      </c>
      <c r="BL56" s="172">
        <f t="shared" si="2"/>
        <v>100</v>
      </c>
      <c r="BM56" s="172">
        <f t="shared" si="3"/>
        <v>100</v>
      </c>
      <c r="BN56" s="172">
        <f t="shared" si="4"/>
        <v>100</v>
      </c>
      <c r="BO56" s="172">
        <f t="shared" si="5"/>
        <v>100</v>
      </c>
      <c r="BP56" s="172">
        <v>54</v>
      </c>
      <c r="BQ56" s="172" t="s">
        <v>100</v>
      </c>
      <c r="BR56" s="172">
        <f t="shared" si="7"/>
        <v>0</v>
      </c>
      <c r="BS56" s="153"/>
    </row>
    <row r="57" spans="1:71" ht="15.75" thickBot="1" x14ac:dyDescent="0.3">
      <c r="A57" s="169"/>
      <c r="B57" s="170"/>
      <c r="C57" s="170"/>
      <c r="D57" s="170"/>
      <c r="E57" s="171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  <c r="AP57" s="169"/>
      <c r="AQ57" s="169"/>
      <c r="AR57" s="169"/>
      <c r="AS57" s="169"/>
      <c r="AT57" s="169"/>
      <c r="AU57" s="169"/>
      <c r="AV57" s="169"/>
      <c r="AW57" s="169"/>
      <c r="AX57" s="169"/>
      <c r="AY57" s="169"/>
      <c r="AZ57" s="169"/>
      <c r="BA57" s="169"/>
      <c r="BB57" s="169"/>
      <c r="BC57" s="169"/>
      <c r="BD57" s="169"/>
      <c r="BE57" s="169"/>
      <c r="BF57" s="111"/>
      <c r="BG57" s="111"/>
      <c r="BH57" s="111"/>
      <c r="BI57" s="169"/>
      <c r="BJ57" s="111"/>
      <c r="BK57" s="172">
        <f t="shared" si="6"/>
        <v>100</v>
      </c>
      <c r="BL57" s="172">
        <f t="shared" si="2"/>
        <v>100</v>
      </c>
      <c r="BM57" s="172">
        <f t="shared" si="3"/>
        <v>100</v>
      </c>
      <c r="BN57" s="172">
        <f t="shared" si="4"/>
        <v>100</v>
      </c>
      <c r="BO57" s="172">
        <f t="shared" si="5"/>
        <v>100</v>
      </c>
      <c r="BP57" s="172">
        <v>55</v>
      </c>
      <c r="BQ57" s="172" t="s">
        <v>100</v>
      </c>
      <c r="BR57" s="172">
        <f t="shared" si="7"/>
        <v>0</v>
      </c>
      <c r="BS57" s="153"/>
    </row>
    <row r="58" spans="1:71" ht="15.75" thickBot="1" x14ac:dyDescent="0.3">
      <c r="A58" s="169"/>
      <c r="B58" s="170"/>
      <c r="C58" s="170"/>
      <c r="D58" s="170"/>
      <c r="E58" s="171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169"/>
      <c r="AX58" s="169"/>
      <c r="AY58" s="169"/>
      <c r="AZ58" s="169"/>
      <c r="BA58" s="169"/>
      <c r="BB58" s="169"/>
      <c r="BC58" s="169"/>
      <c r="BD58" s="169"/>
      <c r="BE58" s="169"/>
      <c r="BF58" s="111"/>
      <c r="BG58" s="111"/>
      <c r="BH58" s="111"/>
      <c r="BI58" s="169"/>
      <c r="BJ58" s="111"/>
      <c r="BK58" s="172">
        <f t="shared" si="6"/>
        <v>100</v>
      </c>
      <c r="BL58" s="172">
        <f t="shared" si="2"/>
        <v>100</v>
      </c>
      <c r="BM58" s="172">
        <f t="shared" si="3"/>
        <v>100</v>
      </c>
      <c r="BN58" s="172">
        <f t="shared" si="4"/>
        <v>100</v>
      </c>
      <c r="BO58" s="172">
        <f t="shared" si="5"/>
        <v>100</v>
      </c>
      <c r="BP58" s="172">
        <v>56</v>
      </c>
      <c r="BQ58" s="172" t="s">
        <v>100</v>
      </c>
      <c r="BR58" s="172">
        <f t="shared" si="7"/>
        <v>0</v>
      </c>
      <c r="BS58" s="153"/>
    </row>
    <row r="59" spans="1:71" ht="15.75" thickBot="1" x14ac:dyDescent="0.3">
      <c r="A59" s="169"/>
      <c r="B59" s="170"/>
      <c r="C59" s="170"/>
      <c r="D59" s="170"/>
      <c r="E59" s="171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  <c r="AP59" s="169"/>
      <c r="AQ59" s="169"/>
      <c r="AR59" s="169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9"/>
      <c r="BD59" s="169"/>
      <c r="BE59" s="169"/>
      <c r="BF59" s="111"/>
      <c r="BG59" s="111"/>
      <c r="BH59" s="111"/>
      <c r="BI59" s="169"/>
      <c r="BJ59" s="111"/>
      <c r="BK59" s="172">
        <f t="shared" si="6"/>
        <v>100</v>
      </c>
      <c r="BL59" s="172">
        <f t="shared" si="2"/>
        <v>100</v>
      </c>
      <c r="BM59" s="172">
        <f t="shared" si="3"/>
        <v>100</v>
      </c>
      <c r="BN59" s="172">
        <f t="shared" si="4"/>
        <v>100</v>
      </c>
      <c r="BO59" s="172">
        <f t="shared" si="5"/>
        <v>100</v>
      </c>
      <c r="BP59" s="172">
        <v>57</v>
      </c>
      <c r="BQ59" s="172" t="s">
        <v>100</v>
      </c>
      <c r="BR59" s="172">
        <f t="shared" si="7"/>
        <v>0</v>
      </c>
      <c r="BS59" s="153"/>
    </row>
    <row r="60" spans="1:71" ht="15.75" thickBot="1" x14ac:dyDescent="0.3">
      <c r="A60" s="169"/>
      <c r="B60" s="170"/>
      <c r="C60" s="170"/>
      <c r="D60" s="170"/>
      <c r="E60" s="171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  <c r="AP60" s="169"/>
      <c r="AQ60" s="169"/>
      <c r="AR60" s="169"/>
      <c r="AS60" s="169"/>
      <c r="AT60" s="169"/>
      <c r="AU60" s="169"/>
      <c r="AV60" s="169"/>
      <c r="AW60" s="169"/>
      <c r="AX60" s="169"/>
      <c r="AY60" s="169"/>
      <c r="AZ60" s="169"/>
      <c r="BA60" s="169"/>
      <c r="BB60" s="169"/>
      <c r="BC60" s="169"/>
      <c r="BD60" s="169"/>
      <c r="BE60" s="169"/>
      <c r="BF60" s="111"/>
      <c r="BG60" s="111"/>
      <c r="BH60" s="111"/>
      <c r="BI60" s="169"/>
      <c r="BJ60" s="111"/>
      <c r="BK60" s="172">
        <f t="shared" si="6"/>
        <v>100</v>
      </c>
      <c r="BL60" s="172">
        <f t="shared" si="2"/>
        <v>100</v>
      </c>
      <c r="BM60" s="172">
        <f t="shared" si="3"/>
        <v>100</v>
      </c>
      <c r="BN60" s="172">
        <f t="shared" si="4"/>
        <v>100</v>
      </c>
      <c r="BO60" s="172">
        <f t="shared" si="5"/>
        <v>100</v>
      </c>
      <c r="BP60" s="172">
        <v>58</v>
      </c>
      <c r="BQ60" s="172" t="s">
        <v>100</v>
      </c>
      <c r="BR60" s="172">
        <f t="shared" si="7"/>
        <v>0</v>
      </c>
      <c r="BS60" s="153"/>
    </row>
    <row r="61" spans="1:71" ht="15.75" thickBot="1" x14ac:dyDescent="0.3">
      <c r="A61" s="169"/>
      <c r="B61" s="170"/>
      <c r="C61" s="170"/>
      <c r="D61" s="170"/>
      <c r="E61" s="171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  <c r="AP61" s="169"/>
      <c r="AQ61" s="169"/>
      <c r="AR61" s="169"/>
      <c r="AS61" s="169"/>
      <c r="AT61" s="169"/>
      <c r="AU61" s="169"/>
      <c r="AV61" s="169"/>
      <c r="AW61" s="169"/>
      <c r="AX61" s="169"/>
      <c r="AY61" s="169"/>
      <c r="AZ61" s="169"/>
      <c r="BA61" s="169"/>
      <c r="BB61" s="169"/>
      <c r="BC61" s="169"/>
      <c r="BD61" s="169"/>
      <c r="BE61" s="169"/>
      <c r="BF61" s="111"/>
      <c r="BG61" s="111"/>
      <c r="BH61" s="111"/>
      <c r="BI61" s="169"/>
      <c r="BJ61" s="111"/>
      <c r="BK61" s="172">
        <f t="shared" si="6"/>
        <v>100</v>
      </c>
      <c r="BL61" s="172">
        <f t="shared" si="2"/>
        <v>100</v>
      </c>
      <c r="BM61" s="172">
        <f t="shared" si="3"/>
        <v>100</v>
      </c>
      <c r="BN61" s="172">
        <f t="shared" si="4"/>
        <v>100</v>
      </c>
      <c r="BO61" s="172">
        <f t="shared" si="5"/>
        <v>100</v>
      </c>
      <c r="BP61" s="172">
        <v>59</v>
      </c>
      <c r="BQ61" s="172" t="s">
        <v>100</v>
      </c>
      <c r="BR61" s="172">
        <f t="shared" si="7"/>
        <v>0</v>
      </c>
      <c r="BS61" s="153"/>
    </row>
    <row r="62" spans="1:71" ht="15.75" thickBot="1" x14ac:dyDescent="0.3">
      <c r="A62" s="169"/>
      <c r="B62" s="170"/>
      <c r="C62" s="170"/>
      <c r="D62" s="170"/>
      <c r="E62" s="171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  <c r="AP62" s="169"/>
      <c r="AQ62" s="169"/>
      <c r="AR62" s="169"/>
      <c r="AS62" s="169"/>
      <c r="AT62" s="169"/>
      <c r="AU62" s="169"/>
      <c r="AV62" s="169"/>
      <c r="AW62" s="169"/>
      <c r="AX62" s="169"/>
      <c r="AY62" s="169"/>
      <c r="AZ62" s="169"/>
      <c r="BA62" s="169"/>
      <c r="BB62" s="169"/>
      <c r="BC62" s="169"/>
      <c r="BD62" s="169"/>
      <c r="BE62" s="169"/>
      <c r="BF62" s="111"/>
      <c r="BG62" s="111"/>
      <c r="BH62" s="111"/>
      <c r="BI62" s="169"/>
      <c r="BJ62" s="111"/>
      <c r="BK62" s="172">
        <f t="shared" si="6"/>
        <v>100</v>
      </c>
      <c r="BL62" s="172">
        <f t="shared" si="2"/>
        <v>100</v>
      </c>
      <c r="BM62" s="172">
        <f t="shared" si="3"/>
        <v>100</v>
      </c>
      <c r="BN62" s="172">
        <f t="shared" si="4"/>
        <v>100</v>
      </c>
      <c r="BO62" s="172">
        <f t="shared" si="5"/>
        <v>100</v>
      </c>
      <c r="BP62" s="172">
        <v>60</v>
      </c>
      <c r="BQ62" s="172" t="s">
        <v>100</v>
      </c>
      <c r="BR62" s="172">
        <f t="shared" si="7"/>
        <v>0</v>
      </c>
      <c r="BS62" s="153"/>
    </row>
    <row r="63" spans="1:71" ht="15.75" thickBot="1" x14ac:dyDescent="0.3">
      <c r="A63" s="169"/>
      <c r="B63" s="170"/>
      <c r="C63" s="170"/>
      <c r="D63" s="170"/>
      <c r="E63" s="171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  <c r="AP63" s="169"/>
      <c r="AQ63" s="169"/>
      <c r="AR63" s="169"/>
      <c r="AS63" s="169"/>
      <c r="AT63" s="169"/>
      <c r="AU63" s="169"/>
      <c r="AV63" s="169"/>
      <c r="AW63" s="169"/>
      <c r="AX63" s="169"/>
      <c r="AY63" s="169"/>
      <c r="AZ63" s="169"/>
      <c r="BA63" s="169"/>
      <c r="BB63" s="169"/>
      <c r="BC63" s="169"/>
      <c r="BD63" s="169"/>
      <c r="BE63" s="169"/>
      <c r="BF63" s="111"/>
      <c r="BG63" s="111"/>
      <c r="BH63" s="111"/>
      <c r="BI63" s="169"/>
      <c r="BJ63" s="111"/>
      <c r="BK63" s="172">
        <f t="shared" si="6"/>
        <v>100</v>
      </c>
      <c r="BL63" s="172">
        <f t="shared" si="2"/>
        <v>100</v>
      </c>
      <c r="BM63" s="172">
        <f t="shared" si="3"/>
        <v>100</v>
      </c>
      <c r="BN63" s="172">
        <f t="shared" si="4"/>
        <v>100</v>
      </c>
      <c r="BO63" s="172">
        <f t="shared" si="5"/>
        <v>100</v>
      </c>
      <c r="BP63" s="172">
        <v>61</v>
      </c>
      <c r="BQ63" s="172" t="s">
        <v>100</v>
      </c>
      <c r="BR63" s="172">
        <f t="shared" si="7"/>
        <v>0</v>
      </c>
      <c r="BS63" s="153"/>
    </row>
    <row r="64" spans="1:71" ht="15.75" thickBot="1" x14ac:dyDescent="0.3">
      <c r="A64" s="169"/>
      <c r="B64" s="170"/>
      <c r="C64" s="170"/>
      <c r="D64" s="170"/>
      <c r="E64" s="171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  <c r="AP64" s="169"/>
      <c r="AQ64" s="169"/>
      <c r="AR64" s="169"/>
      <c r="AS64" s="169"/>
      <c r="AT64" s="169"/>
      <c r="AU64" s="169"/>
      <c r="AV64" s="169"/>
      <c r="AW64" s="169"/>
      <c r="AX64" s="169"/>
      <c r="AY64" s="169"/>
      <c r="AZ64" s="169"/>
      <c r="BA64" s="169"/>
      <c r="BB64" s="169"/>
      <c r="BC64" s="169"/>
      <c r="BD64" s="169"/>
      <c r="BE64" s="169"/>
      <c r="BF64" s="111"/>
      <c r="BG64" s="111"/>
      <c r="BH64" s="111"/>
      <c r="BI64" s="169"/>
      <c r="BJ64" s="111"/>
      <c r="BK64" s="172">
        <f t="shared" si="6"/>
        <v>100</v>
      </c>
      <c r="BL64" s="172">
        <f t="shared" si="2"/>
        <v>100</v>
      </c>
      <c r="BM64" s="172">
        <f t="shared" si="3"/>
        <v>100</v>
      </c>
      <c r="BN64" s="172">
        <f t="shared" si="4"/>
        <v>100</v>
      </c>
      <c r="BO64" s="172">
        <f t="shared" si="5"/>
        <v>100</v>
      </c>
      <c r="BP64" s="172">
        <v>62</v>
      </c>
      <c r="BQ64" s="172" t="s">
        <v>100</v>
      </c>
      <c r="BR64" s="172">
        <f t="shared" si="7"/>
        <v>0</v>
      </c>
      <c r="BS64" s="153"/>
    </row>
    <row r="65" spans="1:71" ht="15.75" thickBot="1" x14ac:dyDescent="0.3">
      <c r="A65" s="169"/>
      <c r="B65" s="170"/>
      <c r="C65" s="170"/>
      <c r="D65" s="170"/>
      <c r="E65" s="171"/>
      <c r="F65" s="169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  <c r="AP65" s="169"/>
      <c r="AQ65" s="169"/>
      <c r="AR65" s="169"/>
      <c r="AS65" s="169"/>
      <c r="AT65" s="169"/>
      <c r="AU65" s="169"/>
      <c r="AV65" s="169"/>
      <c r="AW65" s="169"/>
      <c r="AX65" s="169"/>
      <c r="AY65" s="169"/>
      <c r="AZ65" s="169"/>
      <c r="BA65" s="169"/>
      <c r="BB65" s="169"/>
      <c r="BC65" s="169"/>
      <c r="BD65" s="169"/>
      <c r="BE65" s="169"/>
      <c r="BF65" s="111"/>
      <c r="BG65" s="111"/>
      <c r="BH65" s="111"/>
      <c r="BI65" s="169"/>
      <c r="BJ65" s="111"/>
      <c r="BK65" s="172">
        <f t="shared" si="6"/>
        <v>100</v>
      </c>
      <c r="BL65" s="172">
        <f t="shared" si="2"/>
        <v>100</v>
      </c>
      <c r="BM65" s="172">
        <f t="shared" si="3"/>
        <v>100</v>
      </c>
      <c r="BN65" s="172">
        <f t="shared" si="4"/>
        <v>100</v>
      </c>
      <c r="BO65" s="172">
        <f t="shared" si="5"/>
        <v>100</v>
      </c>
      <c r="BP65" s="172">
        <v>63</v>
      </c>
      <c r="BQ65" s="172" t="s">
        <v>100</v>
      </c>
      <c r="BR65" s="172">
        <f t="shared" si="7"/>
        <v>0</v>
      </c>
      <c r="BS65" s="153"/>
    </row>
    <row r="66" spans="1:71" ht="15.75" thickBot="1" x14ac:dyDescent="0.3">
      <c r="A66" s="169"/>
      <c r="B66" s="170"/>
      <c r="C66" s="170"/>
      <c r="D66" s="170"/>
      <c r="E66" s="171"/>
      <c r="F66" s="169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  <c r="AP66" s="169"/>
      <c r="AQ66" s="169"/>
      <c r="AR66" s="169"/>
      <c r="AS66" s="169"/>
      <c r="AT66" s="169"/>
      <c r="AU66" s="169"/>
      <c r="AV66" s="169"/>
      <c r="AW66" s="169"/>
      <c r="AX66" s="169"/>
      <c r="AY66" s="169"/>
      <c r="AZ66" s="169"/>
      <c r="BA66" s="169"/>
      <c r="BB66" s="169"/>
      <c r="BC66" s="169"/>
      <c r="BD66" s="169"/>
      <c r="BE66" s="169"/>
      <c r="BF66" s="111"/>
      <c r="BG66" s="111"/>
      <c r="BH66" s="111"/>
      <c r="BI66" s="169"/>
      <c r="BJ66" s="111"/>
      <c r="BK66" s="172">
        <f t="shared" si="6"/>
        <v>100</v>
      </c>
      <c r="BL66" s="172">
        <f t="shared" si="2"/>
        <v>100</v>
      </c>
      <c r="BM66" s="172">
        <f t="shared" si="3"/>
        <v>100</v>
      </c>
      <c r="BN66" s="172">
        <f t="shared" si="4"/>
        <v>100</v>
      </c>
      <c r="BO66" s="172">
        <f t="shared" si="5"/>
        <v>100</v>
      </c>
      <c r="BP66" s="172">
        <v>64</v>
      </c>
      <c r="BQ66" s="172" t="s">
        <v>100</v>
      </c>
      <c r="BR66" s="172">
        <f t="shared" si="7"/>
        <v>0</v>
      </c>
      <c r="BS66" s="153"/>
    </row>
    <row r="67" spans="1:71" ht="15.75" thickBot="1" x14ac:dyDescent="0.3">
      <c r="A67" s="169"/>
      <c r="B67" s="170"/>
      <c r="C67" s="170"/>
      <c r="D67" s="170"/>
      <c r="E67" s="171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  <c r="AP67" s="169"/>
      <c r="AQ67" s="169"/>
      <c r="AR67" s="169"/>
      <c r="AS67" s="169"/>
      <c r="AT67" s="169"/>
      <c r="AU67" s="169"/>
      <c r="AV67" s="169"/>
      <c r="AW67" s="169"/>
      <c r="AX67" s="169"/>
      <c r="AY67" s="169"/>
      <c r="AZ67" s="169"/>
      <c r="BA67" s="169"/>
      <c r="BB67" s="169"/>
      <c r="BC67" s="169"/>
      <c r="BD67" s="169"/>
      <c r="BE67" s="169"/>
      <c r="BF67" s="111"/>
      <c r="BG67" s="111"/>
      <c r="BH67" s="111"/>
      <c r="BI67" s="169"/>
      <c r="BJ67" s="111"/>
      <c r="BK67" s="172">
        <f t="shared" ref="BK67:BK98" si="8">IF(K67="NO",0,$K$1)+IF(L67="NO",0,$L$1)+IF(M67="NO",0,$M$1)+IF(N67="NO",0,$N$1)+IF(O67="NO",0,$O$1)+IF(P67="NO",0,$P$1)+IF(Q67="NO",0,$Q$1)+IF(R67="NO",0,$R$1)+IF(S67="NO",0,$S$1)+IF(T67="NO",0,$T$1)+IF(U67="NO",0,$U$1)+IF(V67="NO",0,$V$1)+IF(W67="NO",0,$W$1)</f>
        <v>100</v>
      </c>
      <c r="BL67" s="172">
        <f t="shared" si="2"/>
        <v>100</v>
      </c>
      <c r="BM67" s="172">
        <f t="shared" si="3"/>
        <v>100</v>
      </c>
      <c r="BN67" s="172">
        <f t="shared" si="4"/>
        <v>100</v>
      </c>
      <c r="BO67" s="172">
        <f t="shared" si="5"/>
        <v>100</v>
      </c>
      <c r="BP67" s="172">
        <v>65</v>
      </c>
      <c r="BQ67" s="172" t="s">
        <v>100</v>
      </c>
      <c r="BR67" s="172">
        <f t="shared" si="7"/>
        <v>0</v>
      </c>
      <c r="BS67" s="153"/>
    </row>
    <row r="68" spans="1:71" ht="15.75" thickBot="1" x14ac:dyDescent="0.3">
      <c r="A68" s="169"/>
      <c r="B68" s="170"/>
      <c r="C68" s="170"/>
      <c r="D68" s="170"/>
      <c r="E68" s="171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69"/>
      <c r="AP68" s="169"/>
      <c r="AQ68" s="169"/>
      <c r="AR68" s="169"/>
      <c r="AS68" s="169"/>
      <c r="AT68" s="169"/>
      <c r="AU68" s="169"/>
      <c r="AV68" s="169"/>
      <c r="AW68" s="169"/>
      <c r="AX68" s="169"/>
      <c r="AY68" s="169"/>
      <c r="AZ68" s="169"/>
      <c r="BA68" s="169"/>
      <c r="BB68" s="169"/>
      <c r="BC68" s="169"/>
      <c r="BD68" s="169"/>
      <c r="BE68" s="169"/>
      <c r="BF68" s="111"/>
      <c r="BG68" s="111"/>
      <c r="BH68" s="111"/>
      <c r="BI68" s="169"/>
      <c r="BJ68" s="111"/>
      <c r="BK68" s="172">
        <f t="shared" si="8"/>
        <v>100</v>
      </c>
      <c r="BL68" s="172">
        <f t="shared" ref="BL68:BL113" si="9">IF(X68="NO",0,$X$1)+IF(Y68="NO",0,$Y$1)+IF(Z68="NO",0,$Z$1)+IF(AA68="NO",0,$AA$1)+IF(AB68="NO",0,$AB$1)+IF(AC68="NO",0,$AC$1)+IF(AD68="NO",0,$AD$1)+IF(AE68="NO",0,$AE$1)+IF(AF68="NO",0,$AF$1)+IF(AG68="NO",0,$AG$1)+IF(AH68="NO",0,$AH$1)+IF(AI68="NO",0,$AI$1)+IF(AJ68="NO",0,$AJ$1)+IF(AK68="NO",0,$AK$1)+IF(AL68="NO",0,$AL$1)+IF(AM68="NO",0,$AM$1)</f>
        <v>100</v>
      </c>
      <c r="BM68" s="172">
        <f t="shared" ref="BM68:BM113" si="10">IF(AN68="NO",0,$AN$1)+IF(AO68="NO",0,$AO$1)+IF(AP68="NO",0,$AP$1)+IF(AQ68="NO",0,$AQ$1)+IF(AR68="NO",0,$AR$1)+IF(AS68="NO",0,$AS$1)+IF(AT68="NO",0,$AT$1)+IF(AU68="NO",0,$AU$1)+IF(AV68="NO",0,$AV$1)+IF(AW68="NO",0,$AW$1)+IF(AX68="NO",0,$AX$1)</f>
        <v>100</v>
      </c>
      <c r="BN68" s="172">
        <f t="shared" ref="BN68:BN113" si="11">IF(AY68="NO",0,$AY$1)+IF(AZ68="NO",0,$AZ$1)+IF(BA68="NO",0,$BA$1)+IF(BB68="NO",0,$BB$1)+IF(BC68="NO",0,$BC$1)+IF(BD68="NO",0,$BD$1)</f>
        <v>100</v>
      </c>
      <c r="BO68" s="172">
        <f t="shared" ref="BO68:BO113" si="12">IF(BI68="NO",0,$BI$1)</f>
        <v>100</v>
      </c>
      <c r="BP68" s="172">
        <v>66</v>
      </c>
      <c r="BQ68" s="172" t="s">
        <v>100</v>
      </c>
      <c r="BR68" s="172">
        <f t="shared" ref="BR68:BR113" si="13">I68</f>
        <v>0</v>
      </c>
      <c r="BS68" s="153"/>
    </row>
    <row r="69" spans="1:71" ht="15.75" thickBot="1" x14ac:dyDescent="0.3">
      <c r="A69" s="169"/>
      <c r="B69" s="170"/>
      <c r="C69" s="170"/>
      <c r="D69" s="170"/>
      <c r="E69" s="171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69"/>
      <c r="AP69" s="169"/>
      <c r="AQ69" s="169"/>
      <c r="AR69" s="169"/>
      <c r="AS69" s="169"/>
      <c r="AT69" s="169"/>
      <c r="AU69" s="169"/>
      <c r="AV69" s="169"/>
      <c r="AW69" s="169"/>
      <c r="AX69" s="169"/>
      <c r="AY69" s="169"/>
      <c r="AZ69" s="169"/>
      <c r="BA69" s="169"/>
      <c r="BB69" s="169"/>
      <c r="BC69" s="169"/>
      <c r="BD69" s="169"/>
      <c r="BE69" s="169"/>
      <c r="BF69" s="111"/>
      <c r="BG69" s="111"/>
      <c r="BH69" s="111"/>
      <c r="BI69" s="169"/>
      <c r="BJ69" s="111"/>
      <c r="BK69" s="172">
        <f t="shared" si="8"/>
        <v>100</v>
      </c>
      <c r="BL69" s="172">
        <f t="shared" si="9"/>
        <v>100</v>
      </c>
      <c r="BM69" s="172">
        <f t="shared" si="10"/>
        <v>100</v>
      </c>
      <c r="BN69" s="172">
        <f t="shared" si="11"/>
        <v>100</v>
      </c>
      <c r="BO69" s="172">
        <f t="shared" si="12"/>
        <v>100</v>
      </c>
      <c r="BP69" s="172">
        <v>67</v>
      </c>
      <c r="BQ69" s="172" t="s">
        <v>100</v>
      </c>
      <c r="BR69" s="172">
        <f t="shared" si="13"/>
        <v>0</v>
      </c>
      <c r="BS69" s="153"/>
    </row>
    <row r="70" spans="1:71" ht="15.75" thickBot="1" x14ac:dyDescent="0.3">
      <c r="A70" s="169"/>
      <c r="B70" s="170"/>
      <c r="C70" s="170"/>
      <c r="D70" s="170"/>
      <c r="E70" s="171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69"/>
      <c r="AP70" s="169"/>
      <c r="AQ70" s="169"/>
      <c r="AR70" s="169"/>
      <c r="AS70" s="169"/>
      <c r="AT70" s="169"/>
      <c r="AU70" s="169"/>
      <c r="AV70" s="169"/>
      <c r="AW70" s="169"/>
      <c r="AX70" s="169"/>
      <c r="AY70" s="169"/>
      <c r="AZ70" s="169"/>
      <c r="BA70" s="169"/>
      <c r="BB70" s="169"/>
      <c r="BC70" s="169"/>
      <c r="BD70" s="169"/>
      <c r="BE70" s="169"/>
      <c r="BF70" s="111"/>
      <c r="BG70" s="111"/>
      <c r="BH70" s="111"/>
      <c r="BI70" s="169"/>
      <c r="BJ70" s="111"/>
      <c r="BK70" s="172">
        <f t="shared" si="8"/>
        <v>100</v>
      </c>
      <c r="BL70" s="172">
        <f t="shared" si="9"/>
        <v>100</v>
      </c>
      <c r="BM70" s="172">
        <f t="shared" si="10"/>
        <v>100</v>
      </c>
      <c r="BN70" s="172">
        <f t="shared" si="11"/>
        <v>100</v>
      </c>
      <c r="BO70" s="172">
        <f t="shared" si="12"/>
        <v>100</v>
      </c>
      <c r="BP70" s="172">
        <v>68</v>
      </c>
      <c r="BQ70" s="172" t="s">
        <v>100</v>
      </c>
      <c r="BR70" s="172">
        <f t="shared" si="13"/>
        <v>0</v>
      </c>
      <c r="BS70" s="153"/>
    </row>
    <row r="71" spans="1:71" ht="15.75" thickBot="1" x14ac:dyDescent="0.3">
      <c r="A71" s="169"/>
      <c r="B71" s="170"/>
      <c r="C71" s="170"/>
      <c r="D71" s="170"/>
      <c r="E71" s="171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L71" s="169"/>
      <c r="AM71" s="169"/>
      <c r="AN71" s="169"/>
      <c r="AO71" s="169"/>
      <c r="AP71" s="169"/>
      <c r="AQ71" s="169"/>
      <c r="AR71" s="169"/>
      <c r="AS71" s="169"/>
      <c r="AT71" s="169"/>
      <c r="AU71" s="169"/>
      <c r="AV71" s="169"/>
      <c r="AW71" s="169"/>
      <c r="AX71" s="169"/>
      <c r="AY71" s="169"/>
      <c r="AZ71" s="169"/>
      <c r="BA71" s="169"/>
      <c r="BB71" s="169"/>
      <c r="BC71" s="169"/>
      <c r="BD71" s="169"/>
      <c r="BE71" s="169"/>
      <c r="BF71" s="111"/>
      <c r="BG71" s="111"/>
      <c r="BH71" s="111"/>
      <c r="BI71" s="169"/>
      <c r="BJ71" s="111"/>
      <c r="BK71" s="172">
        <f t="shared" si="8"/>
        <v>100</v>
      </c>
      <c r="BL71" s="172">
        <f t="shared" si="9"/>
        <v>100</v>
      </c>
      <c r="BM71" s="172">
        <f t="shared" si="10"/>
        <v>100</v>
      </c>
      <c r="BN71" s="172">
        <f t="shared" si="11"/>
        <v>100</v>
      </c>
      <c r="BO71" s="172">
        <f t="shared" si="12"/>
        <v>100</v>
      </c>
      <c r="BP71" s="172">
        <v>69</v>
      </c>
      <c r="BQ71" s="172" t="s">
        <v>100</v>
      </c>
      <c r="BR71" s="172">
        <f t="shared" si="13"/>
        <v>0</v>
      </c>
      <c r="BS71" s="153"/>
    </row>
    <row r="72" spans="1:71" ht="15.75" thickBot="1" x14ac:dyDescent="0.3">
      <c r="A72" s="169"/>
      <c r="B72" s="170"/>
      <c r="C72" s="170"/>
      <c r="D72" s="170"/>
      <c r="E72" s="171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  <c r="Y72" s="169"/>
      <c r="Z72" s="169"/>
      <c r="AA72" s="169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L72" s="169"/>
      <c r="AM72" s="169"/>
      <c r="AN72" s="169"/>
      <c r="AO72" s="169"/>
      <c r="AP72" s="169"/>
      <c r="AQ72" s="169"/>
      <c r="AR72" s="169"/>
      <c r="AS72" s="169"/>
      <c r="AT72" s="169"/>
      <c r="AU72" s="169"/>
      <c r="AV72" s="169"/>
      <c r="AW72" s="169"/>
      <c r="AX72" s="169"/>
      <c r="AY72" s="169"/>
      <c r="AZ72" s="169"/>
      <c r="BA72" s="169"/>
      <c r="BB72" s="169"/>
      <c r="BC72" s="169"/>
      <c r="BD72" s="169"/>
      <c r="BE72" s="169"/>
      <c r="BF72" s="111"/>
      <c r="BG72" s="111"/>
      <c r="BH72" s="111"/>
      <c r="BI72" s="169"/>
      <c r="BJ72" s="111"/>
      <c r="BK72" s="172">
        <f t="shared" si="8"/>
        <v>100</v>
      </c>
      <c r="BL72" s="172">
        <f t="shared" si="9"/>
        <v>100</v>
      </c>
      <c r="BM72" s="172">
        <f t="shared" si="10"/>
        <v>100</v>
      </c>
      <c r="BN72" s="172">
        <f t="shared" si="11"/>
        <v>100</v>
      </c>
      <c r="BO72" s="172">
        <f t="shared" si="12"/>
        <v>100</v>
      </c>
      <c r="BP72" s="172">
        <v>70</v>
      </c>
      <c r="BQ72" s="172" t="s">
        <v>100</v>
      </c>
      <c r="BR72" s="172">
        <f t="shared" si="13"/>
        <v>0</v>
      </c>
      <c r="BS72" s="153"/>
    </row>
    <row r="73" spans="1:71" ht="15.75" thickBot="1" x14ac:dyDescent="0.3">
      <c r="A73" s="169"/>
      <c r="B73" s="170"/>
      <c r="C73" s="170"/>
      <c r="D73" s="170"/>
      <c r="E73" s="171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9"/>
      <c r="AN73" s="169"/>
      <c r="AO73" s="169"/>
      <c r="AP73" s="169"/>
      <c r="AQ73" s="169"/>
      <c r="AR73" s="169"/>
      <c r="AS73" s="169"/>
      <c r="AT73" s="169"/>
      <c r="AU73" s="169"/>
      <c r="AV73" s="169"/>
      <c r="AW73" s="169"/>
      <c r="AX73" s="169"/>
      <c r="AY73" s="169"/>
      <c r="AZ73" s="169"/>
      <c r="BA73" s="169"/>
      <c r="BB73" s="169"/>
      <c r="BC73" s="169"/>
      <c r="BD73" s="169"/>
      <c r="BE73" s="169"/>
      <c r="BF73" s="111"/>
      <c r="BG73" s="111"/>
      <c r="BH73" s="111"/>
      <c r="BI73" s="169"/>
      <c r="BJ73" s="111"/>
      <c r="BK73" s="172">
        <f t="shared" si="8"/>
        <v>100</v>
      </c>
      <c r="BL73" s="172">
        <f t="shared" si="9"/>
        <v>100</v>
      </c>
      <c r="BM73" s="172">
        <f t="shared" si="10"/>
        <v>100</v>
      </c>
      <c r="BN73" s="172">
        <f t="shared" si="11"/>
        <v>100</v>
      </c>
      <c r="BO73" s="172">
        <f t="shared" si="12"/>
        <v>100</v>
      </c>
      <c r="BP73" s="172">
        <v>71</v>
      </c>
      <c r="BQ73" s="172" t="s">
        <v>100</v>
      </c>
      <c r="BR73" s="172">
        <f t="shared" si="13"/>
        <v>0</v>
      </c>
      <c r="BS73" s="153"/>
    </row>
    <row r="74" spans="1:71" ht="15.75" thickBot="1" x14ac:dyDescent="0.3">
      <c r="A74" s="169"/>
      <c r="B74" s="170"/>
      <c r="C74" s="170"/>
      <c r="D74" s="170"/>
      <c r="E74" s="171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169"/>
      <c r="AP74" s="169"/>
      <c r="AQ74" s="169"/>
      <c r="AR74" s="169"/>
      <c r="AS74" s="169"/>
      <c r="AT74" s="169"/>
      <c r="AU74" s="169"/>
      <c r="AV74" s="169"/>
      <c r="AW74" s="169"/>
      <c r="AX74" s="169"/>
      <c r="AY74" s="169"/>
      <c r="AZ74" s="169"/>
      <c r="BA74" s="169"/>
      <c r="BB74" s="169"/>
      <c r="BC74" s="169"/>
      <c r="BD74" s="169"/>
      <c r="BE74" s="169"/>
      <c r="BF74" s="111"/>
      <c r="BG74" s="111"/>
      <c r="BH74" s="111"/>
      <c r="BI74" s="169"/>
      <c r="BJ74" s="111"/>
      <c r="BK74" s="172">
        <f t="shared" si="8"/>
        <v>100</v>
      </c>
      <c r="BL74" s="172">
        <f t="shared" si="9"/>
        <v>100</v>
      </c>
      <c r="BM74" s="172">
        <f t="shared" si="10"/>
        <v>100</v>
      </c>
      <c r="BN74" s="172">
        <f t="shared" si="11"/>
        <v>100</v>
      </c>
      <c r="BO74" s="172">
        <f t="shared" si="12"/>
        <v>100</v>
      </c>
      <c r="BP74" s="172">
        <v>72</v>
      </c>
      <c r="BQ74" s="172" t="s">
        <v>100</v>
      </c>
      <c r="BR74" s="172">
        <f t="shared" si="13"/>
        <v>0</v>
      </c>
      <c r="BS74" s="153"/>
    </row>
    <row r="75" spans="1:71" ht="15.75" thickBot="1" x14ac:dyDescent="0.3">
      <c r="A75" s="169"/>
      <c r="B75" s="170"/>
      <c r="C75" s="170"/>
      <c r="D75" s="170"/>
      <c r="E75" s="171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69"/>
      <c r="AH75" s="169"/>
      <c r="AI75" s="169"/>
      <c r="AJ75" s="169"/>
      <c r="AK75" s="169"/>
      <c r="AL75" s="169"/>
      <c r="AM75" s="169"/>
      <c r="AN75" s="169"/>
      <c r="AO75" s="169"/>
      <c r="AP75" s="169"/>
      <c r="AQ75" s="169"/>
      <c r="AR75" s="169"/>
      <c r="AS75" s="169"/>
      <c r="AT75" s="169"/>
      <c r="AU75" s="169"/>
      <c r="AV75" s="169"/>
      <c r="AW75" s="169"/>
      <c r="AX75" s="169"/>
      <c r="AY75" s="169"/>
      <c r="AZ75" s="169"/>
      <c r="BA75" s="169"/>
      <c r="BB75" s="169"/>
      <c r="BC75" s="169"/>
      <c r="BD75" s="169"/>
      <c r="BE75" s="169"/>
      <c r="BF75" s="111"/>
      <c r="BG75" s="111"/>
      <c r="BH75" s="111"/>
      <c r="BI75" s="169"/>
      <c r="BJ75" s="111"/>
      <c r="BK75" s="172">
        <f t="shared" si="8"/>
        <v>100</v>
      </c>
      <c r="BL75" s="172">
        <f t="shared" si="9"/>
        <v>100</v>
      </c>
      <c r="BM75" s="172">
        <f t="shared" si="10"/>
        <v>100</v>
      </c>
      <c r="BN75" s="172">
        <f t="shared" si="11"/>
        <v>100</v>
      </c>
      <c r="BO75" s="172">
        <f t="shared" si="12"/>
        <v>100</v>
      </c>
      <c r="BP75" s="172">
        <v>73</v>
      </c>
      <c r="BQ75" s="172" t="s">
        <v>100</v>
      </c>
      <c r="BR75" s="172">
        <f t="shared" si="13"/>
        <v>0</v>
      </c>
      <c r="BS75" s="153"/>
    </row>
    <row r="76" spans="1:71" ht="15.75" thickBot="1" x14ac:dyDescent="0.3">
      <c r="A76" s="169"/>
      <c r="B76" s="170"/>
      <c r="C76" s="170"/>
      <c r="D76" s="170"/>
      <c r="E76" s="171"/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9"/>
      <c r="AN76" s="169"/>
      <c r="AO76" s="169"/>
      <c r="AP76" s="169"/>
      <c r="AQ76" s="169"/>
      <c r="AR76" s="169"/>
      <c r="AS76" s="169"/>
      <c r="AT76" s="169"/>
      <c r="AU76" s="169"/>
      <c r="AV76" s="169"/>
      <c r="AW76" s="169"/>
      <c r="AX76" s="169"/>
      <c r="AY76" s="169"/>
      <c r="AZ76" s="169"/>
      <c r="BA76" s="169"/>
      <c r="BB76" s="169"/>
      <c r="BC76" s="169"/>
      <c r="BD76" s="169"/>
      <c r="BE76" s="169"/>
      <c r="BF76" s="111"/>
      <c r="BG76" s="111"/>
      <c r="BH76" s="111"/>
      <c r="BI76" s="169"/>
      <c r="BJ76" s="111"/>
      <c r="BK76" s="172">
        <f t="shared" si="8"/>
        <v>100</v>
      </c>
      <c r="BL76" s="172">
        <f t="shared" si="9"/>
        <v>100</v>
      </c>
      <c r="BM76" s="172">
        <f t="shared" si="10"/>
        <v>100</v>
      </c>
      <c r="BN76" s="172">
        <f t="shared" si="11"/>
        <v>100</v>
      </c>
      <c r="BO76" s="172">
        <f t="shared" si="12"/>
        <v>100</v>
      </c>
      <c r="BP76" s="172">
        <v>74</v>
      </c>
      <c r="BQ76" s="172" t="s">
        <v>100</v>
      </c>
      <c r="BR76" s="172">
        <f t="shared" si="13"/>
        <v>0</v>
      </c>
      <c r="BS76" s="153"/>
    </row>
    <row r="77" spans="1:71" ht="15.75" thickBot="1" x14ac:dyDescent="0.3">
      <c r="A77" s="169"/>
      <c r="B77" s="170"/>
      <c r="C77" s="170"/>
      <c r="D77" s="170"/>
      <c r="E77" s="171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9"/>
      <c r="AN77" s="169"/>
      <c r="AO77" s="169"/>
      <c r="AP77" s="169"/>
      <c r="AQ77" s="169"/>
      <c r="AR77" s="169"/>
      <c r="AS77" s="169"/>
      <c r="AT77" s="169"/>
      <c r="AU77" s="169"/>
      <c r="AV77" s="169"/>
      <c r="AW77" s="169"/>
      <c r="AX77" s="169"/>
      <c r="AY77" s="169"/>
      <c r="AZ77" s="169"/>
      <c r="BA77" s="169"/>
      <c r="BB77" s="169"/>
      <c r="BC77" s="169"/>
      <c r="BD77" s="169"/>
      <c r="BE77" s="169"/>
      <c r="BF77" s="111"/>
      <c r="BG77" s="111"/>
      <c r="BH77" s="111"/>
      <c r="BI77" s="169"/>
      <c r="BJ77" s="111"/>
      <c r="BK77" s="172">
        <f t="shared" si="8"/>
        <v>100</v>
      </c>
      <c r="BL77" s="172">
        <f t="shared" si="9"/>
        <v>100</v>
      </c>
      <c r="BM77" s="172">
        <f t="shared" si="10"/>
        <v>100</v>
      </c>
      <c r="BN77" s="172">
        <f t="shared" si="11"/>
        <v>100</v>
      </c>
      <c r="BO77" s="172">
        <f t="shared" si="12"/>
        <v>100</v>
      </c>
      <c r="BP77" s="172">
        <v>75</v>
      </c>
      <c r="BQ77" s="172" t="s">
        <v>100</v>
      </c>
      <c r="BR77" s="172">
        <f t="shared" si="13"/>
        <v>0</v>
      </c>
      <c r="BS77" s="153"/>
    </row>
    <row r="78" spans="1:71" ht="15.75" thickBot="1" x14ac:dyDescent="0.3">
      <c r="A78" s="169"/>
      <c r="B78" s="170"/>
      <c r="C78" s="170"/>
      <c r="D78" s="170"/>
      <c r="E78" s="171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169"/>
      <c r="AP78" s="169"/>
      <c r="AQ78" s="169"/>
      <c r="AR78" s="169"/>
      <c r="AS78" s="169"/>
      <c r="AT78" s="169"/>
      <c r="AU78" s="169"/>
      <c r="AV78" s="169"/>
      <c r="AW78" s="169"/>
      <c r="AX78" s="169"/>
      <c r="AY78" s="169"/>
      <c r="AZ78" s="169"/>
      <c r="BA78" s="169"/>
      <c r="BB78" s="169"/>
      <c r="BC78" s="169"/>
      <c r="BD78" s="169"/>
      <c r="BE78" s="169"/>
      <c r="BF78" s="111"/>
      <c r="BG78" s="111"/>
      <c r="BH78" s="111"/>
      <c r="BI78" s="169"/>
      <c r="BJ78" s="111"/>
      <c r="BK78" s="172">
        <f t="shared" si="8"/>
        <v>100</v>
      </c>
      <c r="BL78" s="172">
        <f t="shared" si="9"/>
        <v>100</v>
      </c>
      <c r="BM78" s="172">
        <f t="shared" si="10"/>
        <v>100</v>
      </c>
      <c r="BN78" s="172">
        <f t="shared" si="11"/>
        <v>100</v>
      </c>
      <c r="BO78" s="172">
        <f t="shared" si="12"/>
        <v>100</v>
      </c>
      <c r="BP78" s="172">
        <v>76</v>
      </c>
      <c r="BQ78" s="172" t="s">
        <v>100</v>
      </c>
      <c r="BR78" s="172">
        <f t="shared" si="13"/>
        <v>0</v>
      </c>
      <c r="BS78" s="153"/>
    </row>
    <row r="79" spans="1:71" ht="15.75" thickBot="1" x14ac:dyDescent="0.3">
      <c r="A79" s="169"/>
      <c r="B79" s="170"/>
      <c r="C79" s="170"/>
      <c r="D79" s="170"/>
      <c r="E79" s="171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9"/>
      <c r="AN79" s="169"/>
      <c r="AO79" s="169"/>
      <c r="AP79" s="169"/>
      <c r="AQ79" s="169"/>
      <c r="AR79" s="169"/>
      <c r="AS79" s="169"/>
      <c r="AT79" s="169"/>
      <c r="AU79" s="169"/>
      <c r="AV79" s="169"/>
      <c r="AW79" s="169"/>
      <c r="AX79" s="169"/>
      <c r="AY79" s="169"/>
      <c r="AZ79" s="169"/>
      <c r="BA79" s="169"/>
      <c r="BB79" s="169"/>
      <c r="BC79" s="169"/>
      <c r="BD79" s="169"/>
      <c r="BE79" s="169"/>
      <c r="BF79" s="111"/>
      <c r="BG79" s="111"/>
      <c r="BH79" s="111"/>
      <c r="BI79" s="169"/>
      <c r="BJ79" s="111"/>
      <c r="BK79" s="172">
        <f t="shared" si="8"/>
        <v>100</v>
      </c>
      <c r="BL79" s="172">
        <f t="shared" si="9"/>
        <v>100</v>
      </c>
      <c r="BM79" s="172">
        <f t="shared" si="10"/>
        <v>100</v>
      </c>
      <c r="BN79" s="172">
        <f t="shared" si="11"/>
        <v>100</v>
      </c>
      <c r="BO79" s="172">
        <f t="shared" si="12"/>
        <v>100</v>
      </c>
      <c r="BP79" s="172">
        <v>77</v>
      </c>
      <c r="BQ79" s="172" t="s">
        <v>100</v>
      </c>
      <c r="BR79" s="172">
        <f t="shared" si="13"/>
        <v>0</v>
      </c>
      <c r="BS79" s="153"/>
    </row>
    <row r="80" spans="1:71" ht="15.75" thickBot="1" x14ac:dyDescent="0.3">
      <c r="A80" s="169"/>
      <c r="B80" s="170"/>
      <c r="C80" s="170"/>
      <c r="D80" s="170"/>
      <c r="E80" s="171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L80" s="169"/>
      <c r="AM80" s="169"/>
      <c r="AN80" s="169"/>
      <c r="AO80" s="169"/>
      <c r="AP80" s="169"/>
      <c r="AQ80" s="169"/>
      <c r="AR80" s="169"/>
      <c r="AS80" s="169"/>
      <c r="AT80" s="169"/>
      <c r="AU80" s="169"/>
      <c r="AV80" s="169"/>
      <c r="AW80" s="169"/>
      <c r="AX80" s="169"/>
      <c r="AY80" s="169"/>
      <c r="AZ80" s="169"/>
      <c r="BA80" s="169"/>
      <c r="BB80" s="169"/>
      <c r="BC80" s="169"/>
      <c r="BD80" s="169"/>
      <c r="BE80" s="169"/>
      <c r="BF80" s="111"/>
      <c r="BG80" s="111"/>
      <c r="BH80" s="111"/>
      <c r="BI80" s="169"/>
      <c r="BJ80" s="111"/>
      <c r="BK80" s="172">
        <f t="shared" si="8"/>
        <v>100</v>
      </c>
      <c r="BL80" s="172">
        <f t="shared" si="9"/>
        <v>100</v>
      </c>
      <c r="BM80" s="172">
        <f t="shared" si="10"/>
        <v>100</v>
      </c>
      <c r="BN80" s="172">
        <f t="shared" si="11"/>
        <v>100</v>
      </c>
      <c r="BO80" s="172">
        <f t="shared" si="12"/>
        <v>100</v>
      </c>
      <c r="BP80" s="172">
        <v>78</v>
      </c>
      <c r="BQ80" s="172" t="s">
        <v>100</v>
      </c>
      <c r="BR80" s="172">
        <f t="shared" si="13"/>
        <v>0</v>
      </c>
      <c r="BS80" s="153"/>
    </row>
    <row r="81" spans="1:71" ht="15.75" thickBot="1" x14ac:dyDescent="0.3">
      <c r="A81" s="169"/>
      <c r="B81" s="170"/>
      <c r="C81" s="170"/>
      <c r="D81" s="170"/>
      <c r="E81" s="171"/>
      <c r="F81" s="169"/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  <c r="Y81" s="169"/>
      <c r="Z81" s="169"/>
      <c r="AA81" s="169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L81" s="169"/>
      <c r="AM81" s="169"/>
      <c r="AN81" s="169"/>
      <c r="AO81" s="169"/>
      <c r="AP81" s="169"/>
      <c r="AQ81" s="169"/>
      <c r="AR81" s="169"/>
      <c r="AS81" s="169"/>
      <c r="AT81" s="169"/>
      <c r="AU81" s="169"/>
      <c r="AV81" s="169"/>
      <c r="AW81" s="169"/>
      <c r="AX81" s="169"/>
      <c r="AY81" s="169"/>
      <c r="AZ81" s="169"/>
      <c r="BA81" s="169"/>
      <c r="BB81" s="169"/>
      <c r="BC81" s="169"/>
      <c r="BD81" s="169"/>
      <c r="BE81" s="169"/>
      <c r="BF81" s="111"/>
      <c r="BG81" s="111"/>
      <c r="BH81" s="111"/>
      <c r="BI81" s="169"/>
      <c r="BJ81" s="111"/>
      <c r="BK81" s="172">
        <f t="shared" si="8"/>
        <v>100</v>
      </c>
      <c r="BL81" s="172">
        <f t="shared" si="9"/>
        <v>100</v>
      </c>
      <c r="BM81" s="172">
        <f t="shared" si="10"/>
        <v>100</v>
      </c>
      <c r="BN81" s="172">
        <f t="shared" si="11"/>
        <v>100</v>
      </c>
      <c r="BO81" s="172">
        <f t="shared" si="12"/>
        <v>100</v>
      </c>
      <c r="BP81" s="172">
        <v>79</v>
      </c>
      <c r="BQ81" s="172" t="s">
        <v>100</v>
      </c>
      <c r="BR81" s="172">
        <f t="shared" si="13"/>
        <v>0</v>
      </c>
      <c r="BS81" s="153"/>
    </row>
    <row r="82" spans="1:71" ht="15.75" thickBot="1" x14ac:dyDescent="0.3">
      <c r="A82" s="169"/>
      <c r="B82" s="170"/>
      <c r="C82" s="170"/>
      <c r="D82" s="170"/>
      <c r="E82" s="171"/>
      <c r="F82" s="169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9"/>
      <c r="AN82" s="169"/>
      <c r="AO82" s="169"/>
      <c r="AP82" s="169"/>
      <c r="AQ82" s="169"/>
      <c r="AR82" s="169"/>
      <c r="AS82" s="169"/>
      <c r="AT82" s="169"/>
      <c r="AU82" s="169"/>
      <c r="AV82" s="169"/>
      <c r="AW82" s="169"/>
      <c r="AX82" s="169"/>
      <c r="AY82" s="169"/>
      <c r="AZ82" s="169"/>
      <c r="BA82" s="169"/>
      <c r="BB82" s="169"/>
      <c r="BC82" s="169"/>
      <c r="BD82" s="169"/>
      <c r="BE82" s="169"/>
      <c r="BF82" s="111"/>
      <c r="BG82" s="111"/>
      <c r="BH82" s="111"/>
      <c r="BI82" s="169"/>
      <c r="BJ82" s="111"/>
      <c r="BK82" s="172">
        <f t="shared" si="8"/>
        <v>100</v>
      </c>
      <c r="BL82" s="172">
        <f t="shared" si="9"/>
        <v>100</v>
      </c>
      <c r="BM82" s="172">
        <f t="shared" si="10"/>
        <v>100</v>
      </c>
      <c r="BN82" s="172">
        <f t="shared" si="11"/>
        <v>100</v>
      </c>
      <c r="BO82" s="172">
        <f t="shared" si="12"/>
        <v>100</v>
      </c>
      <c r="BP82" s="172">
        <v>80</v>
      </c>
      <c r="BQ82" s="172" t="s">
        <v>100</v>
      </c>
      <c r="BR82" s="172">
        <f t="shared" si="13"/>
        <v>0</v>
      </c>
      <c r="BS82" s="153"/>
    </row>
    <row r="83" spans="1:71" ht="15.75" thickBot="1" x14ac:dyDescent="0.3">
      <c r="A83" s="169"/>
      <c r="B83" s="170"/>
      <c r="C83" s="170"/>
      <c r="D83" s="170"/>
      <c r="E83" s="171"/>
      <c r="F83" s="169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  <c r="AQ83" s="169"/>
      <c r="AR83" s="169"/>
      <c r="AS83" s="169"/>
      <c r="AT83" s="169"/>
      <c r="AU83" s="169"/>
      <c r="AV83" s="169"/>
      <c r="AW83" s="169"/>
      <c r="AX83" s="169"/>
      <c r="AY83" s="169"/>
      <c r="AZ83" s="169"/>
      <c r="BA83" s="169"/>
      <c r="BB83" s="169"/>
      <c r="BC83" s="169"/>
      <c r="BD83" s="169"/>
      <c r="BE83" s="169"/>
      <c r="BF83" s="111"/>
      <c r="BG83" s="111"/>
      <c r="BH83" s="111"/>
      <c r="BI83" s="169"/>
      <c r="BJ83" s="111"/>
      <c r="BK83" s="172">
        <f t="shared" si="8"/>
        <v>100</v>
      </c>
      <c r="BL83" s="172">
        <f t="shared" si="9"/>
        <v>100</v>
      </c>
      <c r="BM83" s="172">
        <f t="shared" si="10"/>
        <v>100</v>
      </c>
      <c r="BN83" s="172">
        <f t="shared" si="11"/>
        <v>100</v>
      </c>
      <c r="BO83" s="172">
        <f t="shared" si="12"/>
        <v>100</v>
      </c>
      <c r="BP83" s="172">
        <v>81</v>
      </c>
      <c r="BQ83" s="172" t="s">
        <v>100</v>
      </c>
      <c r="BR83" s="172">
        <f t="shared" si="13"/>
        <v>0</v>
      </c>
      <c r="BS83" s="153"/>
    </row>
    <row r="84" spans="1:71" ht="15.75" thickBot="1" x14ac:dyDescent="0.3">
      <c r="A84" s="169"/>
      <c r="B84" s="170"/>
      <c r="C84" s="170"/>
      <c r="D84" s="170"/>
      <c r="E84" s="171"/>
      <c r="F84" s="169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9"/>
      <c r="AN84" s="169"/>
      <c r="AO84" s="169"/>
      <c r="AP84" s="169"/>
      <c r="AQ84" s="169"/>
      <c r="AR84" s="169"/>
      <c r="AS84" s="169"/>
      <c r="AT84" s="169"/>
      <c r="AU84" s="169"/>
      <c r="AV84" s="169"/>
      <c r="AW84" s="169"/>
      <c r="AX84" s="169"/>
      <c r="AY84" s="169"/>
      <c r="AZ84" s="169"/>
      <c r="BA84" s="169"/>
      <c r="BB84" s="169"/>
      <c r="BC84" s="169"/>
      <c r="BD84" s="169"/>
      <c r="BE84" s="169"/>
      <c r="BF84" s="111"/>
      <c r="BG84" s="111"/>
      <c r="BH84" s="111"/>
      <c r="BI84" s="169"/>
      <c r="BJ84" s="111"/>
      <c r="BK84" s="172">
        <f t="shared" si="8"/>
        <v>100</v>
      </c>
      <c r="BL84" s="172">
        <f t="shared" si="9"/>
        <v>100</v>
      </c>
      <c r="BM84" s="172">
        <f t="shared" si="10"/>
        <v>100</v>
      </c>
      <c r="BN84" s="172">
        <f t="shared" si="11"/>
        <v>100</v>
      </c>
      <c r="BO84" s="172">
        <f t="shared" si="12"/>
        <v>100</v>
      </c>
      <c r="BP84" s="172">
        <v>82</v>
      </c>
      <c r="BQ84" s="172" t="s">
        <v>100</v>
      </c>
      <c r="BR84" s="172">
        <f t="shared" si="13"/>
        <v>0</v>
      </c>
      <c r="BS84" s="153"/>
    </row>
    <row r="85" spans="1:71" ht="15.75" thickBot="1" x14ac:dyDescent="0.3">
      <c r="A85" s="169"/>
      <c r="B85" s="170"/>
      <c r="C85" s="170"/>
      <c r="D85" s="170"/>
      <c r="E85" s="171"/>
      <c r="F85" s="169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9"/>
      <c r="AN85" s="169"/>
      <c r="AO85" s="169"/>
      <c r="AP85" s="169"/>
      <c r="AQ85" s="169"/>
      <c r="AR85" s="169"/>
      <c r="AS85" s="169"/>
      <c r="AT85" s="169"/>
      <c r="AU85" s="169"/>
      <c r="AV85" s="169"/>
      <c r="AW85" s="169"/>
      <c r="AX85" s="169"/>
      <c r="AY85" s="169"/>
      <c r="AZ85" s="169"/>
      <c r="BA85" s="169"/>
      <c r="BB85" s="169"/>
      <c r="BC85" s="169"/>
      <c r="BD85" s="169"/>
      <c r="BE85" s="169"/>
      <c r="BF85" s="111"/>
      <c r="BG85" s="111"/>
      <c r="BH85" s="111"/>
      <c r="BI85" s="169"/>
      <c r="BJ85" s="111"/>
      <c r="BK85" s="172">
        <f t="shared" si="8"/>
        <v>100</v>
      </c>
      <c r="BL85" s="172">
        <f t="shared" si="9"/>
        <v>100</v>
      </c>
      <c r="BM85" s="172">
        <f t="shared" si="10"/>
        <v>100</v>
      </c>
      <c r="BN85" s="172">
        <f t="shared" si="11"/>
        <v>100</v>
      </c>
      <c r="BO85" s="172">
        <f t="shared" si="12"/>
        <v>100</v>
      </c>
      <c r="BP85" s="172">
        <v>83</v>
      </c>
      <c r="BQ85" s="172" t="s">
        <v>100</v>
      </c>
      <c r="BR85" s="172">
        <f t="shared" si="13"/>
        <v>0</v>
      </c>
      <c r="BS85" s="153"/>
    </row>
    <row r="86" spans="1:71" ht="15.75" thickBot="1" x14ac:dyDescent="0.3">
      <c r="A86" s="169"/>
      <c r="B86" s="170"/>
      <c r="C86" s="170"/>
      <c r="D86" s="170"/>
      <c r="E86" s="171"/>
      <c r="F86" s="169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  <c r="Y86" s="169"/>
      <c r="Z86" s="169"/>
      <c r="AA86" s="169"/>
      <c r="AB86" s="169"/>
      <c r="AC86" s="169"/>
      <c r="AD86" s="169"/>
      <c r="AE86" s="169"/>
      <c r="AF86" s="169"/>
      <c r="AG86" s="169"/>
      <c r="AH86" s="169"/>
      <c r="AI86" s="169"/>
      <c r="AJ86" s="169"/>
      <c r="AK86" s="169"/>
      <c r="AL86" s="169"/>
      <c r="AM86" s="169"/>
      <c r="AN86" s="169"/>
      <c r="AO86" s="169"/>
      <c r="AP86" s="169"/>
      <c r="AQ86" s="169"/>
      <c r="AR86" s="169"/>
      <c r="AS86" s="169"/>
      <c r="AT86" s="169"/>
      <c r="AU86" s="169"/>
      <c r="AV86" s="169"/>
      <c r="AW86" s="169"/>
      <c r="AX86" s="169"/>
      <c r="AY86" s="169"/>
      <c r="AZ86" s="169"/>
      <c r="BA86" s="169"/>
      <c r="BB86" s="169"/>
      <c r="BC86" s="169"/>
      <c r="BD86" s="169"/>
      <c r="BE86" s="169"/>
      <c r="BF86" s="111"/>
      <c r="BG86" s="111"/>
      <c r="BH86" s="111"/>
      <c r="BI86" s="169"/>
      <c r="BJ86" s="111"/>
      <c r="BK86" s="172">
        <f t="shared" si="8"/>
        <v>100</v>
      </c>
      <c r="BL86" s="172">
        <f t="shared" si="9"/>
        <v>100</v>
      </c>
      <c r="BM86" s="172">
        <f t="shared" si="10"/>
        <v>100</v>
      </c>
      <c r="BN86" s="172">
        <f t="shared" si="11"/>
        <v>100</v>
      </c>
      <c r="BO86" s="172">
        <f t="shared" si="12"/>
        <v>100</v>
      </c>
      <c r="BP86" s="172">
        <v>84</v>
      </c>
      <c r="BQ86" s="172" t="s">
        <v>100</v>
      </c>
      <c r="BR86" s="172">
        <f t="shared" si="13"/>
        <v>0</v>
      </c>
      <c r="BS86" s="153"/>
    </row>
    <row r="87" spans="1:71" ht="15.75" thickBot="1" x14ac:dyDescent="0.3">
      <c r="A87" s="169"/>
      <c r="B87" s="170"/>
      <c r="C87" s="170"/>
      <c r="D87" s="170"/>
      <c r="E87" s="171"/>
      <c r="F87" s="169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  <c r="Y87" s="169"/>
      <c r="Z87" s="169"/>
      <c r="AA87" s="169"/>
      <c r="AB87" s="169"/>
      <c r="AC87" s="169"/>
      <c r="AD87" s="169"/>
      <c r="AE87" s="169"/>
      <c r="AF87" s="169"/>
      <c r="AG87" s="169"/>
      <c r="AH87" s="169"/>
      <c r="AI87" s="169"/>
      <c r="AJ87" s="169"/>
      <c r="AK87" s="169"/>
      <c r="AL87" s="169"/>
      <c r="AM87" s="169"/>
      <c r="AN87" s="169"/>
      <c r="AO87" s="169"/>
      <c r="AP87" s="169"/>
      <c r="AQ87" s="169"/>
      <c r="AR87" s="169"/>
      <c r="AS87" s="169"/>
      <c r="AT87" s="169"/>
      <c r="AU87" s="169"/>
      <c r="AV87" s="169"/>
      <c r="AW87" s="169"/>
      <c r="AX87" s="169"/>
      <c r="AY87" s="169"/>
      <c r="AZ87" s="169"/>
      <c r="BA87" s="169"/>
      <c r="BB87" s="169"/>
      <c r="BC87" s="169"/>
      <c r="BD87" s="169"/>
      <c r="BE87" s="169"/>
      <c r="BF87" s="111"/>
      <c r="BG87" s="111"/>
      <c r="BH87" s="111"/>
      <c r="BI87" s="169"/>
      <c r="BJ87" s="111"/>
      <c r="BK87" s="172">
        <f t="shared" si="8"/>
        <v>100</v>
      </c>
      <c r="BL87" s="172">
        <f t="shared" si="9"/>
        <v>100</v>
      </c>
      <c r="BM87" s="172">
        <f t="shared" si="10"/>
        <v>100</v>
      </c>
      <c r="BN87" s="172">
        <f t="shared" si="11"/>
        <v>100</v>
      </c>
      <c r="BO87" s="172">
        <f t="shared" si="12"/>
        <v>100</v>
      </c>
      <c r="BP87" s="172">
        <v>85</v>
      </c>
      <c r="BQ87" s="172" t="s">
        <v>100</v>
      </c>
      <c r="BR87" s="172">
        <f t="shared" si="13"/>
        <v>0</v>
      </c>
      <c r="BS87" s="153"/>
    </row>
    <row r="88" spans="1:71" ht="15.75" thickBot="1" x14ac:dyDescent="0.3">
      <c r="A88" s="169"/>
      <c r="B88" s="170"/>
      <c r="C88" s="170"/>
      <c r="D88" s="170"/>
      <c r="E88" s="171"/>
      <c r="F88" s="169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  <c r="Y88" s="169"/>
      <c r="Z88" s="169"/>
      <c r="AA88" s="169"/>
      <c r="AB88" s="169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9"/>
      <c r="AN88" s="169"/>
      <c r="AO88" s="169"/>
      <c r="AP88" s="169"/>
      <c r="AQ88" s="169"/>
      <c r="AR88" s="169"/>
      <c r="AS88" s="169"/>
      <c r="AT88" s="169"/>
      <c r="AU88" s="169"/>
      <c r="AV88" s="169"/>
      <c r="AW88" s="169"/>
      <c r="AX88" s="169"/>
      <c r="AY88" s="169"/>
      <c r="AZ88" s="169"/>
      <c r="BA88" s="169"/>
      <c r="BB88" s="169"/>
      <c r="BC88" s="169"/>
      <c r="BD88" s="169"/>
      <c r="BE88" s="169"/>
      <c r="BF88" s="111"/>
      <c r="BG88" s="111"/>
      <c r="BH88" s="111"/>
      <c r="BI88" s="169"/>
      <c r="BJ88" s="111"/>
      <c r="BK88" s="172">
        <f t="shared" si="8"/>
        <v>100</v>
      </c>
      <c r="BL88" s="172">
        <f t="shared" si="9"/>
        <v>100</v>
      </c>
      <c r="BM88" s="172">
        <f t="shared" si="10"/>
        <v>100</v>
      </c>
      <c r="BN88" s="172">
        <f t="shared" si="11"/>
        <v>100</v>
      </c>
      <c r="BO88" s="172">
        <f t="shared" si="12"/>
        <v>100</v>
      </c>
      <c r="BP88" s="172">
        <v>86</v>
      </c>
      <c r="BQ88" s="172" t="s">
        <v>100</v>
      </c>
      <c r="BR88" s="172">
        <f t="shared" si="13"/>
        <v>0</v>
      </c>
      <c r="BS88" s="153"/>
    </row>
    <row r="89" spans="1:71" ht="15.75" thickBot="1" x14ac:dyDescent="0.3">
      <c r="A89" s="169"/>
      <c r="B89" s="170"/>
      <c r="C89" s="170"/>
      <c r="D89" s="170"/>
      <c r="E89" s="171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9"/>
      <c r="AN89" s="169"/>
      <c r="AO89" s="169"/>
      <c r="AP89" s="169"/>
      <c r="AQ89" s="169"/>
      <c r="AR89" s="169"/>
      <c r="AS89" s="169"/>
      <c r="AT89" s="169"/>
      <c r="AU89" s="169"/>
      <c r="AV89" s="169"/>
      <c r="AW89" s="169"/>
      <c r="AX89" s="169"/>
      <c r="AY89" s="169"/>
      <c r="AZ89" s="169"/>
      <c r="BA89" s="169"/>
      <c r="BB89" s="169"/>
      <c r="BC89" s="169"/>
      <c r="BD89" s="169"/>
      <c r="BE89" s="169"/>
      <c r="BF89" s="111"/>
      <c r="BG89" s="111"/>
      <c r="BH89" s="111"/>
      <c r="BI89" s="169"/>
      <c r="BJ89" s="111"/>
      <c r="BK89" s="172">
        <f t="shared" si="8"/>
        <v>100</v>
      </c>
      <c r="BL89" s="172">
        <f t="shared" si="9"/>
        <v>100</v>
      </c>
      <c r="BM89" s="172">
        <f t="shared" si="10"/>
        <v>100</v>
      </c>
      <c r="BN89" s="172">
        <f t="shared" si="11"/>
        <v>100</v>
      </c>
      <c r="BO89" s="172">
        <f t="shared" si="12"/>
        <v>100</v>
      </c>
      <c r="BP89" s="172">
        <v>87</v>
      </c>
      <c r="BQ89" s="172" t="s">
        <v>100</v>
      </c>
      <c r="BR89" s="172">
        <f t="shared" si="13"/>
        <v>0</v>
      </c>
      <c r="BS89" s="153"/>
    </row>
    <row r="90" spans="1:71" ht="15.75" thickBot="1" x14ac:dyDescent="0.3">
      <c r="A90" s="169"/>
      <c r="B90" s="170"/>
      <c r="C90" s="170"/>
      <c r="D90" s="170"/>
      <c r="E90" s="171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169"/>
      <c r="Z90" s="169"/>
      <c r="AA90" s="169"/>
      <c r="AB90" s="169"/>
      <c r="AC90" s="169"/>
      <c r="AD90" s="169"/>
      <c r="AE90" s="169"/>
      <c r="AF90" s="169"/>
      <c r="AG90" s="169"/>
      <c r="AH90" s="169"/>
      <c r="AI90" s="169"/>
      <c r="AJ90" s="169"/>
      <c r="AK90" s="169"/>
      <c r="AL90" s="169"/>
      <c r="AM90" s="169"/>
      <c r="AN90" s="169"/>
      <c r="AO90" s="169"/>
      <c r="AP90" s="169"/>
      <c r="AQ90" s="169"/>
      <c r="AR90" s="169"/>
      <c r="AS90" s="169"/>
      <c r="AT90" s="169"/>
      <c r="AU90" s="169"/>
      <c r="AV90" s="169"/>
      <c r="AW90" s="169"/>
      <c r="AX90" s="169"/>
      <c r="AY90" s="169"/>
      <c r="AZ90" s="169"/>
      <c r="BA90" s="169"/>
      <c r="BB90" s="169"/>
      <c r="BC90" s="169"/>
      <c r="BD90" s="169"/>
      <c r="BE90" s="169"/>
      <c r="BF90" s="111"/>
      <c r="BG90" s="111"/>
      <c r="BH90" s="111"/>
      <c r="BI90" s="169"/>
      <c r="BJ90" s="111"/>
      <c r="BK90" s="172">
        <f t="shared" si="8"/>
        <v>100</v>
      </c>
      <c r="BL90" s="172">
        <f t="shared" si="9"/>
        <v>100</v>
      </c>
      <c r="BM90" s="172">
        <f t="shared" si="10"/>
        <v>100</v>
      </c>
      <c r="BN90" s="172">
        <f t="shared" si="11"/>
        <v>100</v>
      </c>
      <c r="BO90" s="172">
        <f t="shared" si="12"/>
        <v>100</v>
      </c>
      <c r="BP90" s="172">
        <v>88</v>
      </c>
      <c r="BQ90" s="172" t="s">
        <v>100</v>
      </c>
      <c r="BR90" s="172">
        <f t="shared" si="13"/>
        <v>0</v>
      </c>
      <c r="BS90" s="153"/>
    </row>
    <row r="91" spans="1:71" ht="15.75" thickBot="1" x14ac:dyDescent="0.3">
      <c r="A91" s="169"/>
      <c r="B91" s="170"/>
      <c r="C91" s="170"/>
      <c r="D91" s="170"/>
      <c r="E91" s="171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9"/>
      <c r="AN91" s="169"/>
      <c r="AO91" s="169"/>
      <c r="AP91" s="169"/>
      <c r="AQ91" s="169"/>
      <c r="AR91" s="169"/>
      <c r="AS91" s="169"/>
      <c r="AT91" s="169"/>
      <c r="AU91" s="169"/>
      <c r="AV91" s="169"/>
      <c r="AW91" s="169"/>
      <c r="AX91" s="169"/>
      <c r="AY91" s="169"/>
      <c r="AZ91" s="169"/>
      <c r="BA91" s="169"/>
      <c r="BB91" s="169"/>
      <c r="BC91" s="169"/>
      <c r="BD91" s="169"/>
      <c r="BE91" s="169"/>
      <c r="BF91" s="111"/>
      <c r="BG91" s="111"/>
      <c r="BH91" s="111"/>
      <c r="BI91" s="169"/>
      <c r="BJ91" s="111"/>
      <c r="BK91" s="172">
        <f t="shared" si="8"/>
        <v>100</v>
      </c>
      <c r="BL91" s="172">
        <f t="shared" si="9"/>
        <v>100</v>
      </c>
      <c r="BM91" s="172">
        <f t="shared" si="10"/>
        <v>100</v>
      </c>
      <c r="BN91" s="172">
        <f t="shared" si="11"/>
        <v>100</v>
      </c>
      <c r="BO91" s="172">
        <f t="shared" si="12"/>
        <v>100</v>
      </c>
      <c r="BP91" s="172">
        <v>89</v>
      </c>
      <c r="BQ91" s="172" t="s">
        <v>100</v>
      </c>
      <c r="BR91" s="172">
        <f t="shared" si="13"/>
        <v>0</v>
      </c>
      <c r="BS91" s="153"/>
    </row>
    <row r="92" spans="1:71" ht="15.75" thickBot="1" x14ac:dyDescent="0.3">
      <c r="A92" s="169"/>
      <c r="B92" s="170"/>
      <c r="C92" s="170"/>
      <c r="D92" s="170"/>
      <c r="E92" s="171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9"/>
      <c r="AN92" s="169"/>
      <c r="AO92" s="169"/>
      <c r="AP92" s="169"/>
      <c r="AQ92" s="169"/>
      <c r="AR92" s="169"/>
      <c r="AS92" s="169"/>
      <c r="AT92" s="169"/>
      <c r="AU92" s="169"/>
      <c r="AV92" s="169"/>
      <c r="AW92" s="169"/>
      <c r="AX92" s="169"/>
      <c r="AY92" s="169"/>
      <c r="AZ92" s="169"/>
      <c r="BA92" s="169"/>
      <c r="BB92" s="169"/>
      <c r="BC92" s="169"/>
      <c r="BD92" s="169"/>
      <c r="BE92" s="169"/>
      <c r="BF92" s="111"/>
      <c r="BG92" s="111"/>
      <c r="BH92" s="111"/>
      <c r="BI92" s="169"/>
      <c r="BJ92" s="111"/>
      <c r="BK92" s="172">
        <f t="shared" si="8"/>
        <v>100</v>
      </c>
      <c r="BL92" s="172">
        <f t="shared" si="9"/>
        <v>100</v>
      </c>
      <c r="BM92" s="172">
        <f t="shared" si="10"/>
        <v>100</v>
      </c>
      <c r="BN92" s="172">
        <f t="shared" si="11"/>
        <v>100</v>
      </c>
      <c r="BO92" s="172">
        <f t="shared" si="12"/>
        <v>100</v>
      </c>
      <c r="BP92" s="172">
        <v>90</v>
      </c>
      <c r="BQ92" s="172" t="s">
        <v>100</v>
      </c>
      <c r="BR92" s="172">
        <f t="shared" si="13"/>
        <v>0</v>
      </c>
      <c r="BS92" s="153"/>
    </row>
    <row r="93" spans="1:71" ht="15.75" thickBot="1" x14ac:dyDescent="0.3">
      <c r="A93" s="169"/>
      <c r="B93" s="170"/>
      <c r="C93" s="170"/>
      <c r="D93" s="170"/>
      <c r="E93" s="171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  <c r="AQ93" s="169"/>
      <c r="AR93" s="169"/>
      <c r="AS93" s="169"/>
      <c r="AT93" s="169"/>
      <c r="AU93" s="169"/>
      <c r="AV93" s="169"/>
      <c r="AW93" s="169"/>
      <c r="AX93" s="169"/>
      <c r="AY93" s="169"/>
      <c r="AZ93" s="169"/>
      <c r="BA93" s="169"/>
      <c r="BB93" s="169"/>
      <c r="BC93" s="169"/>
      <c r="BD93" s="169"/>
      <c r="BE93" s="169"/>
      <c r="BF93" s="111"/>
      <c r="BG93" s="111"/>
      <c r="BH93" s="111"/>
      <c r="BI93" s="169"/>
      <c r="BJ93" s="111"/>
      <c r="BK93" s="172">
        <f t="shared" si="8"/>
        <v>100</v>
      </c>
      <c r="BL93" s="172">
        <f t="shared" si="9"/>
        <v>100</v>
      </c>
      <c r="BM93" s="172">
        <f t="shared" si="10"/>
        <v>100</v>
      </c>
      <c r="BN93" s="172">
        <f t="shared" si="11"/>
        <v>100</v>
      </c>
      <c r="BO93" s="172">
        <f t="shared" si="12"/>
        <v>100</v>
      </c>
      <c r="BP93" s="172">
        <v>91</v>
      </c>
      <c r="BQ93" s="172" t="s">
        <v>100</v>
      </c>
      <c r="BR93" s="172">
        <f t="shared" si="13"/>
        <v>0</v>
      </c>
      <c r="BS93" s="153"/>
    </row>
    <row r="94" spans="1:71" ht="15.75" thickBot="1" x14ac:dyDescent="0.3">
      <c r="A94" s="169"/>
      <c r="B94" s="170"/>
      <c r="C94" s="170"/>
      <c r="D94" s="170"/>
      <c r="E94" s="171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169"/>
      <c r="AH94" s="169"/>
      <c r="AI94" s="169"/>
      <c r="AJ94" s="169"/>
      <c r="AK94" s="169"/>
      <c r="AL94" s="169"/>
      <c r="AM94" s="169"/>
      <c r="AN94" s="169"/>
      <c r="AO94" s="169"/>
      <c r="AP94" s="169"/>
      <c r="AQ94" s="169"/>
      <c r="AR94" s="169"/>
      <c r="AS94" s="169"/>
      <c r="AT94" s="169"/>
      <c r="AU94" s="169"/>
      <c r="AV94" s="169"/>
      <c r="AW94" s="169"/>
      <c r="AX94" s="169"/>
      <c r="AY94" s="169"/>
      <c r="AZ94" s="169"/>
      <c r="BA94" s="169"/>
      <c r="BB94" s="169"/>
      <c r="BC94" s="169"/>
      <c r="BD94" s="169"/>
      <c r="BE94" s="169"/>
      <c r="BF94" s="111"/>
      <c r="BG94" s="111"/>
      <c r="BH94" s="111"/>
      <c r="BI94" s="169"/>
      <c r="BJ94" s="111"/>
      <c r="BK94" s="172">
        <f t="shared" si="8"/>
        <v>100</v>
      </c>
      <c r="BL94" s="172">
        <f t="shared" si="9"/>
        <v>100</v>
      </c>
      <c r="BM94" s="172">
        <f t="shared" si="10"/>
        <v>100</v>
      </c>
      <c r="BN94" s="172">
        <f t="shared" si="11"/>
        <v>100</v>
      </c>
      <c r="BO94" s="172">
        <f t="shared" si="12"/>
        <v>100</v>
      </c>
      <c r="BP94" s="172">
        <v>92</v>
      </c>
      <c r="BQ94" s="172" t="s">
        <v>100</v>
      </c>
      <c r="BR94" s="172">
        <f t="shared" si="13"/>
        <v>0</v>
      </c>
      <c r="BS94" s="153"/>
    </row>
    <row r="95" spans="1:71" ht="15.75" thickBot="1" x14ac:dyDescent="0.3">
      <c r="A95" s="169"/>
      <c r="B95" s="170"/>
      <c r="C95" s="170"/>
      <c r="D95" s="170"/>
      <c r="E95" s="171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  <c r="Y95" s="169"/>
      <c r="Z95" s="169"/>
      <c r="AA95" s="169"/>
      <c r="AB95" s="169"/>
      <c r="AC95" s="169"/>
      <c r="AD95" s="169"/>
      <c r="AE95" s="169"/>
      <c r="AF95" s="169"/>
      <c r="AG95" s="169"/>
      <c r="AH95" s="169"/>
      <c r="AI95" s="169"/>
      <c r="AJ95" s="169"/>
      <c r="AK95" s="169"/>
      <c r="AL95" s="169"/>
      <c r="AM95" s="169"/>
      <c r="AN95" s="169"/>
      <c r="AO95" s="169"/>
      <c r="AP95" s="169"/>
      <c r="AQ95" s="169"/>
      <c r="AR95" s="169"/>
      <c r="AS95" s="169"/>
      <c r="AT95" s="169"/>
      <c r="AU95" s="169"/>
      <c r="AV95" s="169"/>
      <c r="AW95" s="169"/>
      <c r="AX95" s="169"/>
      <c r="AY95" s="169"/>
      <c r="AZ95" s="169"/>
      <c r="BA95" s="169"/>
      <c r="BB95" s="169"/>
      <c r="BC95" s="169"/>
      <c r="BD95" s="169"/>
      <c r="BE95" s="169"/>
      <c r="BF95" s="111"/>
      <c r="BG95" s="111"/>
      <c r="BH95" s="111"/>
      <c r="BI95" s="169"/>
      <c r="BJ95" s="111"/>
      <c r="BK95" s="172">
        <f t="shared" si="8"/>
        <v>100</v>
      </c>
      <c r="BL95" s="172">
        <f t="shared" si="9"/>
        <v>100</v>
      </c>
      <c r="BM95" s="172">
        <f t="shared" si="10"/>
        <v>100</v>
      </c>
      <c r="BN95" s="172">
        <f t="shared" si="11"/>
        <v>100</v>
      </c>
      <c r="BO95" s="172">
        <f t="shared" si="12"/>
        <v>100</v>
      </c>
      <c r="BP95" s="172">
        <v>93</v>
      </c>
      <c r="BQ95" s="172" t="s">
        <v>100</v>
      </c>
      <c r="BR95" s="172">
        <f t="shared" si="13"/>
        <v>0</v>
      </c>
      <c r="BS95" s="153"/>
    </row>
    <row r="96" spans="1:71" ht="15.75" thickBot="1" x14ac:dyDescent="0.3">
      <c r="A96" s="169"/>
      <c r="B96" s="170"/>
      <c r="C96" s="170"/>
      <c r="D96" s="170"/>
      <c r="E96" s="171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169"/>
      <c r="Z96" s="169"/>
      <c r="AA96" s="169"/>
      <c r="AB96" s="169"/>
      <c r="AC96" s="169"/>
      <c r="AD96" s="169"/>
      <c r="AE96" s="169"/>
      <c r="AF96" s="169"/>
      <c r="AG96" s="169"/>
      <c r="AH96" s="169"/>
      <c r="AI96" s="169"/>
      <c r="AJ96" s="169"/>
      <c r="AK96" s="169"/>
      <c r="AL96" s="169"/>
      <c r="AM96" s="169"/>
      <c r="AN96" s="169"/>
      <c r="AO96" s="169"/>
      <c r="AP96" s="169"/>
      <c r="AQ96" s="169"/>
      <c r="AR96" s="169"/>
      <c r="AS96" s="169"/>
      <c r="AT96" s="169"/>
      <c r="AU96" s="169"/>
      <c r="AV96" s="169"/>
      <c r="AW96" s="169"/>
      <c r="AX96" s="169"/>
      <c r="AY96" s="169"/>
      <c r="AZ96" s="169"/>
      <c r="BA96" s="169"/>
      <c r="BB96" s="169"/>
      <c r="BC96" s="169"/>
      <c r="BD96" s="169"/>
      <c r="BE96" s="169"/>
      <c r="BF96" s="111"/>
      <c r="BG96" s="111"/>
      <c r="BH96" s="111"/>
      <c r="BI96" s="169"/>
      <c r="BJ96" s="111"/>
      <c r="BK96" s="172">
        <f t="shared" si="8"/>
        <v>100</v>
      </c>
      <c r="BL96" s="172">
        <f t="shared" si="9"/>
        <v>100</v>
      </c>
      <c r="BM96" s="172">
        <f t="shared" si="10"/>
        <v>100</v>
      </c>
      <c r="BN96" s="172">
        <f t="shared" si="11"/>
        <v>100</v>
      </c>
      <c r="BO96" s="172">
        <f t="shared" si="12"/>
        <v>100</v>
      </c>
      <c r="BP96" s="172">
        <v>94</v>
      </c>
      <c r="BQ96" s="172" t="s">
        <v>100</v>
      </c>
      <c r="BR96" s="172">
        <f t="shared" si="13"/>
        <v>0</v>
      </c>
      <c r="BS96" s="153"/>
    </row>
    <row r="97" spans="1:71" ht="15.75" thickBot="1" x14ac:dyDescent="0.3">
      <c r="A97" s="169"/>
      <c r="B97" s="170"/>
      <c r="C97" s="170"/>
      <c r="D97" s="170"/>
      <c r="E97" s="171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69"/>
      <c r="AE97" s="169"/>
      <c r="AF97" s="169"/>
      <c r="AG97" s="169"/>
      <c r="AH97" s="169"/>
      <c r="AI97" s="169"/>
      <c r="AJ97" s="169"/>
      <c r="AK97" s="169"/>
      <c r="AL97" s="169"/>
      <c r="AM97" s="169"/>
      <c r="AN97" s="169"/>
      <c r="AO97" s="169"/>
      <c r="AP97" s="169"/>
      <c r="AQ97" s="169"/>
      <c r="AR97" s="169"/>
      <c r="AS97" s="169"/>
      <c r="AT97" s="169"/>
      <c r="AU97" s="169"/>
      <c r="AV97" s="169"/>
      <c r="AW97" s="169"/>
      <c r="AX97" s="169"/>
      <c r="AY97" s="169"/>
      <c r="AZ97" s="169"/>
      <c r="BA97" s="169"/>
      <c r="BB97" s="169"/>
      <c r="BC97" s="169"/>
      <c r="BD97" s="169"/>
      <c r="BE97" s="169"/>
      <c r="BF97" s="111"/>
      <c r="BG97" s="111"/>
      <c r="BH97" s="111"/>
      <c r="BI97" s="169"/>
      <c r="BJ97" s="111"/>
      <c r="BK97" s="172">
        <f t="shared" si="8"/>
        <v>100</v>
      </c>
      <c r="BL97" s="172">
        <f t="shared" si="9"/>
        <v>100</v>
      </c>
      <c r="BM97" s="172">
        <f t="shared" si="10"/>
        <v>100</v>
      </c>
      <c r="BN97" s="172">
        <f t="shared" si="11"/>
        <v>100</v>
      </c>
      <c r="BO97" s="172">
        <f t="shared" si="12"/>
        <v>100</v>
      </c>
      <c r="BP97" s="172">
        <v>95</v>
      </c>
      <c r="BQ97" s="172" t="s">
        <v>100</v>
      </c>
      <c r="BR97" s="172">
        <f t="shared" si="13"/>
        <v>0</v>
      </c>
      <c r="BS97" s="153"/>
    </row>
    <row r="98" spans="1:71" ht="15.75" thickBot="1" x14ac:dyDescent="0.3">
      <c r="A98" s="169"/>
      <c r="B98" s="170"/>
      <c r="C98" s="170"/>
      <c r="D98" s="170"/>
      <c r="E98" s="171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  <c r="AG98" s="169"/>
      <c r="AH98" s="169"/>
      <c r="AI98" s="169"/>
      <c r="AJ98" s="169"/>
      <c r="AK98" s="169"/>
      <c r="AL98" s="169"/>
      <c r="AM98" s="169"/>
      <c r="AN98" s="169"/>
      <c r="AO98" s="169"/>
      <c r="AP98" s="169"/>
      <c r="AQ98" s="169"/>
      <c r="AR98" s="169"/>
      <c r="AS98" s="169"/>
      <c r="AT98" s="169"/>
      <c r="AU98" s="169"/>
      <c r="AV98" s="169"/>
      <c r="AW98" s="169"/>
      <c r="AX98" s="169"/>
      <c r="AY98" s="169"/>
      <c r="AZ98" s="169"/>
      <c r="BA98" s="169"/>
      <c r="BB98" s="169"/>
      <c r="BC98" s="169"/>
      <c r="BD98" s="169"/>
      <c r="BE98" s="169"/>
      <c r="BF98" s="111"/>
      <c r="BG98" s="111"/>
      <c r="BH98" s="111"/>
      <c r="BI98" s="169"/>
      <c r="BJ98" s="111"/>
      <c r="BK98" s="172">
        <f t="shared" si="8"/>
        <v>100</v>
      </c>
      <c r="BL98" s="172">
        <f t="shared" si="9"/>
        <v>100</v>
      </c>
      <c r="BM98" s="172">
        <f t="shared" si="10"/>
        <v>100</v>
      </c>
      <c r="BN98" s="172">
        <f t="shared" si="11"/>
        <v>100</v>
      </c>
      <c r="BO98" s="172">
        <f t="shared" si="12"/>
        <v>100</v>
      </c>
      <c r="BP98" s="172">
        <v>96</v>
      </c>
      <c r="BQ98" s="172" t="s">
        <v>100</v>
      </c>
      <c r="BR98" s="172">
        <f t="shared" si="13"/>
        <v>0</v>
      </c>
      <c r="BS98" s="153"/>
    </row>
    <row r="99" spans="1:71" ht="15.75" thickBot="1" x14ac:dyDescent="0.3">
      <c r="A99" s="169"/>
      <c r="B99" s="170"/>
      <c r="C99" s="170"/>
      <c r="D99" s="170"/>
      <c r="E99" s="171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  <c r="Y99" s="169"/>
      <c r="Z99" s="169"/>
      <c r="AA99" s="169"/>
      <c r="AB99" s="169"/>
      <c r="AC99" s="169"/>
      <c r="AD99" s="169"/>
      <c r="AE99" s="169"/>
      <c r="AF99" s="169"/>
      <c r="AG99" s="169"/>
      <c r="AH99" s="169"/>
      <c r="AI99" s="169"/>
      <c r="AJ99" s="169"/>
      <c r="AK99" s="169"/>
      <c r="AL99" s="169"/>
      <c r="AM99" s="169"/>
      <c r="AN99" s="169"/>
      <c r="AO99" s="169"/>
      <c r="AP99" s="169"/>
      <c r="AQ99" s="169"/>
      <c r="AR99" s="169"/>
      <c r="AS99" s="169"/>
      <c r="AT99" s="169"/>
      <c r="AU99" s="169"/>
      <c r="AV99" s="169"/>
      <c r="AW99" s="169"/>
      <c r="AX99" s="169"/>
      <c r="AY99" s="169"/>
      <c r="AZ99" s="169"/>
      <c r="BA99" s="169"/>
      <c r="BB99" s="169"/>
      <c r="BC99" s="169"/>
      <c r="BD99" s="169"/>
      <c r="BE99" s="169"/>
      <c r="BF99" s="111"/>
      <c r="BG99" s="111"/>
      <c r="BH99" s="111"/>
      <c r="BI99" s="169"/>
      <c r="BJ99" s="111"/>
      <c r="BK99" s="172">
        <f t="shared" ref="BK99:BK113" si="14">IF(K99="NO",0,$K$1)+IF(L99="NO",0,$L$1)+IF(M99="NO",0,$M$1)+IF(N99="NO",0,$N$1)+IF(O99="NO",0,$O$1)+IF(P99="NO",0,$P$1)+IF(Q99="NO",0,$Q$1)+IF(R99="NO",0,$R$1)+IF(S99="NO",0,$S$1)+IF(T99="NO",0,$T$1)+IF(U99="NO",0,$U$1)+IF(V99="NO",0,$V$1)+IF(W99="NO",0,$W$1)</f>
        <v>100</v>
      </c>
      <c r="BL99" s="172">
        <f t="shared" si="9"/>
        <v>100</v>
      </c>
      <c r="BM99" s="172">
        <f t="shared" si="10"/>
        <v>100</v>
      </c>
      <c r="BN99" s="172">
        <f t="shared" si="11"/>
        <v>100</v>
      </c>
      <c r="BO99" s="172">
        <f t="shared" si="12"/>
        <v>100</v>
      </c>
      <c r="BP99" s="172">
        <v>97</v>
      </c>
      <c r="BQ99" s="172" t="s">
        <v>100</v>
      </c>
      <c r="BR99" s="172">
        <f t="shared" si="13"/>
        <v>0</v>
      </c>
      <c r="BS99" s="153"/>
    </row>
    <row r="100" spans="1:71" ht="15.75" thickBot="1" x14ac:dyDescent="0.3">
      <c r="A100" s="169"/>
      <c r="B100" s="170"/>
      <c r="C100" s="170"/>
      <c r="D100" s="170"/>
      <c r="E100" s="171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  <c r="Y100" s="169"/>
      <c r="Z100" s="169"/>
      <c r="AA100" s="169"/>
      <c r="AB100" s="169"/>
      <c r="AC100" s="169"/>
      <c r="AD100" s="169"/>
      <c r="AE100" s="169"/>
      <c r="AF100" s="169"/>
      <c r="AG100" s="169"/>
      <c r="AH100" s="169"/>
      <c r="AI100" s="169"/>
      <c r="AJ100" s="169"/>
      <c r="AK100" s="169"/>
      <c r="AL100" s="169"/>
      <c r="AM100" s="169"/>
      <c r="AN100" s="169"/>
      <c r="AO100" s="169"/>
      <c r="AP100" s="169"/>
      <c r="AQ100" s="169"/>
      <c r="AR100" s="169"/>
      <c r="AS100" s="169"/>
      <c r="AT100" s="169"/>
      <c r="AU100" s="169"/>
      <c r="AV100" s="169"/>
      <c r="AW100" s="169"/>
      <c r="AX100" s="169"/>
      <c r="AY100" s="169"/>
      <c r="AZ100" s="169"/>
      <c r="BA100" s="169"/>
      <c r="BB100" s="169"/>
      <c r="BC100" s="169"/>
      <c r="BD100" s="169"/>
      <c r="BE100" s="169"/>
      <c r="BF100" s="111"/>
      <c r="BG100" s="111"/>
      <c r="BH100" s="111"/>
      <c r="BI100" s="169"/>
      <c r="BJ100" s="111"/>
      <c r="BK100" s="172">
        <f t="shared" si="14"/>
        <v>100</v>
      </c>
      <c r="BL100" s="172">
        <f t="shared" si="9"/>
        <v>100</v>
      </c>
      <c r="BM100" s="172">
        <f t="shared" si="10"/>
        <v>100</v>
      </c>
      <c r="BN100" s="172">
        <f t="shared" si="11"/>
        <v>100</v>
      </c>
      <c r="BO100" s="172">
        <f t="shared" si="12"/>
        <v>100</v>
      </c>
      <c r="BP100" s="172">
        <v>98</v>
      </c>
      <c r="BQ100" s="172" t="s">
        <v>100</v>
      </c>
      <c r="BR100" s="172">
        <f t="shared" si="13"/>
        <v>0</v>
      </c>
      <c r="BS100" s="153"/>
    </row>
    <row r="101" spans="1:71" ht="15.75" thickBot="1" x14ac:dyDescent="0.3">
      <c r="A101" s="169"/>
      <c r="B101" s="170"/>
      <c r="C101" s="170"/>
      <c r="D101" s="170"/>
      <c r="E101" s="171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169"/>
      <c r="Z101" s="169"/>
      <c r="AA101" s="169"/>
      <c r="AB101" s="169"/>
      <c r="AC101" s="169"/>
      <c r="AD101" s="169"/>
      <c r="AE101" s="169"/>
      <c r="AF101" s="169"/>
      <c r="AG101" s="169"/>
      <c r="AH101" s="169"/>
      <c r="AI101" s="169"/>
      <c r="AJ101" s="169"/>
      <c r="AK101" s="169"/>
      <c r="AL101" s="169"/>
      <c r="AM101" s="169"/>
      <c r="AN101" s="169"/>
      <c r="AO101" s="169"/>
      <c r="AP101" s="169"/>
      <c r="AQ101" s="169"/>
      <c r="AR101" s="169"/>
      <c r="AS101" s="169"/>
      <c r="AT101" s="169"/>
      <c r="AU101" s="169"/>
      <c r="AV101" s="169"/>
      <c r="AW101" s="169"/>
      <c r="AX101" s="169"/>
      <c r="AY101" s="169"/>
      <c r="AZ101" s="169"/>
      <c r="BA101" s="169"/>
      <c r="BB101" s="169"/>
      <c r="BC101" s="169"/>
      <c r="BD101" s="169"/>
      <c r="BE101" s="169"/>
      <c r="BF101" s="111"/>
      <c r="BG101" s="111"/>
      <c r="BH101" s="111"/>
      <c r="BI101" s="169"/>
      <c r="BJ101" s="111"/>
      <c r="BK101" s="172">
        <f t="shared" si="14"/>
        <v>100</v>
      </c>
      <c r="BL101" s="172">
        <f t="shared" si="9"/>
        <v>100</v>
      </c>
      <c r="BM101" s="172">
        <f t="shared" si="10"/>
        <v>100</v>
      </c>
      <c r="BN101" s="172">
        <f t="shared" si="11"/>
        <v>100</v>
      </c>
      <c r="BO101" s="172">
        <f t="shared" si="12"/>
        <v>100</v>
      </c>
      <c r="BP101" s="172">
        <v>99</v>
      </c>
      <c r="BQ101" s="172" t="s">
        <v>100</v>
      </c>
      <c r="BR101" s="172">
        <f t="shared" si="13"/>
        <v>0</v>
      </c>
      <c r="BS101" s="153"/>
    </row>
    <row r="102" spans="1:71" ht="15.75" thickBot="1" x14ac:dyDescent="0.3">
      <c r="A102" s="169"/>
      <c r="B102" s="170"/>
      <c r="C102" s="170"/>
      <c r="D102" s="170"/>
      <c r="E102" s="171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  <c r="AQ102" s="169"/>
      <c r="AR102" s="169"/>
      <c r="AS102" s="169"/>
      <c r="AT102" s="169"/>
      <c r="AU102" s="169"/>
      <c r="AV102" s="169"/>
      <c r="AW102" s="169"/>
      <c r="AX102" s="169"/>
      <c r="AY102" s="169"/>
      <c r="AZ102" s="169"/>
      <c r="BA102" s="169"/>
      <c r="BB102" s="169"/>
      <c r="BC102" s="169"/>
      <c r="BD102" s="169"/>
      <c r="BE102" s="169"/>
      <c r="BF102" s="111"/>
      <c r="BG102" s="111"/>
      <c r="BH102" s="111"/>
      <c r="BI102" s="169"/>
      <c r="BJ102" s="111"/>
      <c r="BK102" s="172">
        <f t="shared" si="14"/>
        <v>100</v>
      </c>
      <c r="BL102" s="172">
        <f t="shared" si="9"/>
        <v>100</v>
      </c>
      <c r="BM102" s="172">
        <f t="shared" si="10"/>
        <v>100</v>
      </c>
      <c r="BN102" s="172">
        <f t="shared" si="11"/>
        <v>100</v>
      </c>
      <c r="BO102" s="172">
        <f t="shared" si="12"/>
        <v>100</v>
      </c>
      <c r="BP102" s="172">
        <v>100</v>
      </c>
      <c r="BQ102" s="172" t="s">
        <v>100</v>
      </c>
      <c r="BR102" s="172">
        <f t="shared" si="13"/>
        <v>0</v>
      </c>
      <c r="BS102" s="153"/>
    </row>
    <row r="103" spans="1:71" ht="15.75" thickBot="1" x14ac:dyDescent="0.3">
      <c r="A103" s="169"/>
      <c r="B103" s="170"/>
      <c r="C103" s="170"/>
      <c r="D103" s="170"/>
      <c r="E103" s="171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  <c r="Y103" s="169"/>
      <c r="Z103" s="169"/>
      <c r="AA103" s="169"/>
      <c r="AB103" s="169"/>
      <c r="AC103" s="169"/>
      <c r="AD103" s="169"/>
      <c r="AE103" s="169"/>
      <c r="AF103" s="169"/>
      <c r="AG103" s="169"/>
      <c r="AH103" s="169"/>
      <c r="AI103" s="169"/>
      <c r="AJ103" s="169"/>
      <c r="AK103" s="169"/>
      <c r="AL103" s="169"/>
      <c r="AM103" s="169"/>
      <c r="AN103" s="169"/>
      <c r="AO103" s="169"/>
      <c r="AP103" s="169"/>
      <c r="AQ103" s="169"/>
      <c r="AR103" s="169"/>
      <c r="AS103" s="169"/>
      <c r="AT103" s="169"/>
      <c r="AU103" s="169"/>
      <c r="AV103" s="169"/>
      <c r="AW103" s="169"/>
      <c r="AX103" s="169"/>
      <c r="AY103" s="169"/>
      <c r="AZ103" s="169"/>
      <c r="BA103" s="169"/>
      <c r="BB103" s="169"/>
      <c r="BC103" s="169"/>
      <c r="BD103" s="169"/>
      <c r="BE103" s="169"/>
      <c r="BF103" s="111"/>
      <c r="BG103" s="111"/>
      <c r="BH103" s="111"/>
      <c r="BI103" s="169"/>
      <c r="BJ103" s="111"/>
      <c r="BK103" s="172">
        <f t="shared" si="14"/>
        <v>100</v>
      </c>
      <c r="BL103" s="172">
        <f t="shared" si="9"/>
        <v>100</v>
      </c>
      <c r="BM103" s="172">
        <f t="shared" si="10"/>
        <v>100</v>
      </c>
      <c r="BN103" s="172">
        <f t="shared" si="11"/>
        <v>100</v>
      </c>
      <c r="BO103" s="172">
        <f t="shared" si="12"/>
        <v>100</v>
      </c>
      <c r="BP103" s="172">
        <v>101</v>
      </c>
      <c r="BQ103" s="172" t="s">
        <v>100</v>
      </c>
      <c r="BR103" s="172">
        <f t="shared" si="13"/>
        <v>0</v>
      </c>
      <c r="BS103" s="153"/>
    </row>
    <row r="104" spans="1:71" ht="15.75" thickBot="1" x14ac:dyDescent="0.3">
      <c r="A104" s="169"/>
      <c r="B104" s="170"/>
      <c r="C104" s="170"/>
      <c r="D104" s="170"/>
      <c r="E104" s="171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  <c r="Y104" s="169"/>
      <c r="Z104" s="169"/>
      <c r="AA104" s="169"/>
      <c r="AB104" s="169"/>
      <c r="AC104" s="169"/>
      <c r="AD104" s="169"/>
      <c r="AE104" s="169"/>
      <c r="AF104" s="169"/>
      <c r="AG104" s="169"/>
      <c r="AH104" s="169"/>
      <c r="AI104" s="169"/>
      <c r="AJ104" s="169"/>
      <c r="AK104" s="169"/>
      <c r="AL104" s="169"/>
      <c r="AM104" s="169"/>
      <c r="AN104" s="169"/>
      <c r="AO104" s="169"/>
      <c r="AP104" s="169"/>
      <c r="AQ104" s="169"/>
      <c r="AR104" s="169"/>
      <c r="AS104" s="169"/>
      <c r="AT104" s="169"/>
      <c r="AU104" s="169"/>
      <c r="AV104" s="169"/>
      <c r="AW104" s="169"/>
      <c r="AX104" s="169"/>
      <c r="AY104" s="169"/>
      <c r="AZ104" s="169"/>
      <c r="BA104" s="169"/>
      <c r="BB104" s="169"/>
      <c r="BC104" s="169"/>
      <c r="BD104" s="169"/>
      <c r="BE104" s="169"/>
      <c r="BF104" s="111"/>
      <c r="BG104" s="111"/>
      <c r="BH104" s="111"/>
      <c r="BI104" s="169"/>
      <c r="BJ104" s="111"/>
      <c r="BK104" s="172">
        <f t="shared" si="14"/>
        <v>100</v>
      </c>
      <c r="BL104" s="172">
        <f t="shared" si="9"/>
        <v>100</v>
      </c>
      <c r="BM104" s="172">
        <f t="shared" si="10"/>
        <v>100</v>
      </c>
      <c r="BN104" s="172">
        <f t="shared" si="11"/>
        <v>100</v>
      </c>
      <c r="BO104" s="172">
        <f t="shared" si="12"/>
        <v>100</v>
      </c>
      <c r="BP104" s="172">
        <v>102</v>
      </c>
      <c r="BQ104" s="172" t="s">
        <v>100</v>
      </c>
      <c r="BR104" s="172">
        <f t="shared" si="13"/>
        <v>0</v>
      </c>
      <c r="BS104" s="153"/>
    </row>
    <row r="105" spans="1:71" ht="15.75" thickBot="1" x14ac:dyDescent="0.3">
      <c r="A105" s="169"/>
      <c r="B105" s="170"/>
      <c r="C105" s="170"/>
      <c r="D105" s="170"/>
      <c r="E105" s="171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169"/>
      <c r="Z105" s="169"/>
      <c r="AA105" s="169"/>
      <c r="AB105" s="169"/>
      <c r="AC105" s="169"/>
      <c r="AD105" s="169"/>
      <c r="AE105" s="169"/>
      <c r="AF105" s="169"/>
      <c r="AG105" s="169"/>
      <c r="AH105" s="169"/>
      <c r="AI105" s="169"/>
      <c r="AJ105" s="169"/>
      <c r="AK105" s="169"/>
      <c r="AL105" s="169"/>
      <c r="AM105" s="169"/>
      <c r="AN105" s="169"/>
      <c r="AO105" s="169"/>
      <c r="AP105" s="169"/>
      <c r="AQ105" s="169"/>
      <c r="AR105" s="169"/>
      <c r="AS105" s="169"/>
      <c r="AT105" s="169"/>
      <c r="AU105" s="169"/>
      <c r="AV105" s="169"/>
      <c r="AW105" s="169"/>
      <c r="AX105" s="169"/>
      <c r="AY105" s="169"/>
      <c r="AZ105" s="169"/>
      <c r="BA105" s="169"/>
      <c r="BB105" s="169"/>
      <c r="BC105" s="169"/>
      <c r="BD105" s="169"/>
      <c r="BE105" s="169"/>
      <c r="BF105" s="111"/>
      <c r="BG105" s="111"/>
      <c r="BH105" s="111"/>
      <c r="BI105" s="169"/>
      <c r="BJ105" s="111"/>
      <c r="BK105" s="172">
        <f t="shared" si="14"/>
        <v>100</v>
      </c>
      <c r="BL105" s="172">
        <f t="shared" si="9"/>
        <v>100</v>
      </c>
      <c r="BM105" s="172">
        <f t="shared" si="10"/>
        <v>100</v>
      </c>
      <c r="BN105" s="172">
        <f t="shared" si="11"/>
        <v>100</v>
      </c>
      <c r="BO105" s="172">
        <f t="shared" si="12"/>
        <v>100</v>
      </c>
      <c r="BP105" s="172">
        <v>103</v>
      </c>
      <c r="BQ105" s="172" t="s">
        <v>100</v>
      </c>
      <c r="BR105" s="172">
        <f t="shared" si="13"/>
        <v>0</v>
      </c>
      <c r="BS105" s="153"/>
    </row>
    <row r="106" spans="1:71" ht="15.75" thickBot="1" x14ac:dyDescent="0.3">
      <c r="A106" s="169"/>
      <c r="B106" s="170"/>
      <c r="C106" s="170"/>
      <c r="D106" s="170"/>
      <c r="E106" s="171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169"/>
      <c r="Z106" s="169"/>
      <c r="AA106" s="169"/>
      <c r="AB106" s="169"/>
      <c r="AC106" s="169"/>
      <c r="AD106" s="169"/>
      <c r="AE106" s="169"/>
      <c r="AF106" s="169"/>
      <c r="AG106" s="169"/>
      <c r="AH106" s="169"/>
      <c r="AI106" s="169"/>
      <c r="AJ106" s="169"/>
      <c r="AK106" s="169"/>
      <c r="AL106" s="169"/>
      <c r="AM106" s="169"/>
      <c r="AN106" s="169"/>
      <c r="AO106" s="169"/>
      <c r="AP106" s="169"/>
      <c r="AQ106" s="169"/>
      <c r="AR106" s="169"/>
      <c r="AS106" s="169"/>
      <c r="AT106" s="169"/>
      <c r="AU106" s="169"/>
      <c r="AV106" s="169"/>
      <c r="AW106" s="169"/>
      <c r="AX106" s="169"/>
      <c r="AY106" s="169"/>
      <c r="AZ106" s="169"/>
      <c r="BA106" s="169"/>
      <c r="BB106" s="169"/>
      <c r="BC106" s="169"/>
      <c r="BD106" s="169"/>
      <c r="BE106" s="169"/>
      <c r="BF106" s="111"/>
      <c r="BG106" s="111"/>
      <c r="BH106" s="111"/>
      <c r="BI106" s="169"/>
      <c r="BJ106" s="111"/>
      <c r="BK106" s="172">
        <f t="shared" si="14"/>
        <v>100</v>
      </c>
      <c r="BL106" s="172">
        <f t="shared" si="9"/>
        <v>100</v>
      </c>
      <c r="BM106" s="172">
        <f t="shared" si="10"/>
        <v>100</v>
      </c>
      <c r="BN106" s="172">
        <f t="shared" si="11"/>
        <v>100</v>
      </c>
      <c r="BO106" s="172">
        <f t="shared" si="12"/>
        <v>100</v>
      </c>
      <c r="BP106" s="172">
        <v>104</v>
      </c>
      <c r="BQ106" s="172" t="s">
        <v>100</v>
      </c>
      <c r="BR106" s="172">
        <f t="shared" si="13"/>
        <v>0</v>
      </c>
      <c r="BS106" s="153"/>
    </row>
    <row r="107" spans="1:71" ht="15.75" thickBot="1" x14ac:dyDescent="0.3">
      <c r="A107" s="169"/>
      <c r="B107" s="170"/>
      <c r="C107" s="170"/>
      <c r="D107" s="170"/>
      <c r="E107" s="171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169"/>
      <c r="Z107" s="169"/>
      <c r="AA107" s="169"/>
      <c r="AB107" s="169"/>
      <c r="AC107" s="169"/>
      <c r="AD107" s="169"/>
      <c r="AE107" s="169"/>
      <c r="AF107" s="169"/>
      <c r="AG107" s="169"/>
      <c r="AH107" s="169"/>
      <c r="AI107" s="169"/>
      <c r="AJ107" s="169"/>
      <c r="AK107" s="169"/>
      <c r="AL107" s="169"/>
      <c r="AM107" s="169"/>
      <c r="AN107" s="169"/>
      <c r="AO107" s="169"/>
      <c r="AP107" s="169"/>
      <c r="AQ107" s="169"/>
      <c r="AR107" s="169"/>
      <c r="AS107" s="169"/>
      <c r="AT107" s="169"/>
      <c r="AU107" s="169"/>
      <c r="AV107" s="169"/>
      <c r="AW107" s="169"/>
      <c r="AX107" s="169"/>
      <c r="AY107" s="169"/>
      <c r="AZ107" s="169"/>
      <c r="BA107" s="169"/>
      <c r="BB107" s="169"/>
      <c r="BC107" s="169"/>
      <c r="BD107" s="169"/>
      <c r="BE107" s="169"/>
      <c r="BF107" s="111"/>
      <c r="BG107" s="111"/>
      <c r="BH107" s="111"/>
      <c r="BI107" s="169"/>
      <c r="BJ107" s="111"/>
      <c r="BK107" s="172">
        <f t="shared" si="14"/>
        <v>100</v>
      </c>
      <c r="BL107" s="172">
        <f t="shared" si="9"/>
        <v>100</v>
      </c>
      <c r="BM107" s="172">
        <f t="shared" si="10"/>
        <v>100</v>
      </c>
      <c r="BN107" s="172">
        <f t="shared" si="11"/>
        <v>100</v>
      </c>
      <c r="BO107" s="172">
        <f t="shared" si="12"/>
        <v>100</v>
      </c>
      <c r="BP107" s="172">
        <v>105</v>
      </c>
      <c r="BQ107" s="172" t="s">
        <v>100</v>
      </c>
      <c r="BR107" s="172">
        <f t="shared" si="13"/>
        <v>0</v>
      </c>
      <c r="BS107" s="153"/>
    </row>
    <row r="108" spans="1:71" ht="15.75" thickBot="1" x14ac:dyDescent="0.3">
      <c r="A108" s="169"/>
      <c r="B108" s="170"/>
      <c r="C108" s="170"/>
      <c r="D108" s="170"/>
      <c r="E108" s="171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169"/>
      <c r="Z108" s="169"/>
      <c r="AA108" s="169"/>
      <c r="AB108" s="169"/>
      <c r="AC108" s="169"/>
      <c r="AD108" s="169"/>
      <c r="AE108" s="169"/>
      <c r="AF108" s="169"/>
      <c r="AG108" s="169"/>
      <c r="AH108" s="169"/>
      <c r="AI108" s="169"/>
      <c r="AJ108" s="169"/>
      <c r="AK108" s="169"/>
      <c r="AL108" s="169"/>
      <c r="AM108" s="169"/>
      <c r="AN108" s="169"/>
      <c r="AO108" s="169"/>
      <c r="AP108" s="169"/>
      <c r="AQ108" s="169"/>
      <c r="AR108" s="169"/>
      <c r="AS108" s="169"/>
      <c r="AT108" s="169"/>
      <c r="AU108" s="169"/>
      <c r="AV108" s="169"/>
      <c r="AW108" s="169"/>
      <c r="AX108" s="169"/>
      <c r="AY108" s="169"/>
      <c r="AZ108" s="169"/>
      <c r="BA108" s="169"/>
      <c r="BB108" s="169"/>
      <c r="BC108" s="169"/>
      <c r="BD108" s="169"/>
      <c r="BE108" s="169"/>
      <c r="BF108" s="111"/>
      <c r="BG108" s="111"/>
      <c r="BH108" s="111"/>
      <c r="BI108" s="169"/>
      <c r="BJ108" s="111"/>
      <c r="BK108" s="172">
        <f t="shared" si="14"/>
        <v>100</v>
      </c>
      <c r="BL108" s="172">
        <f t="shared" si="9"/>
        <v>100</v>
      </c>
      <c r="BM108" s="172">
        <f t="shared" si="10"/>
        <v>100</v>
      </c>
      <c r="BN108" s="172">
        <f t="shared" si="11"/>
        <v>100</v>
      </c>
      <c r="BO108" s="172">
        <f t="shared" si="12"/>
        <v>100</v>
      </c>
      <c r="BP108" s="172">
        <v>106</v>
      </c>
      <c r="BQ108" s="172" t="s">
        <v>100</v>
      </c>
      <c r="BR108" s="172">
        <f t="shared" si="13"/>
        <v>0</v>
      </c>
      <c r="BS108" s="153"/>
    </row>
    <row r="109" spans="1:71" ht="15.75" thickBot="1" x14ac:dyDescent="0.3">
      <c r="A109" s="169"/>
      <c r="B109" s="170"/>
      <c r="C109" s="170"/>
      <c r="D109" s="170"/>
      <c r="E109" s="171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169"/>
      <c r="AH109" s="169"/>
      <c r="AI109" s="169"/>
      <c r="AJ109" s="169"/>
      <c r="AK109" s="169"/>
      <c r="AL109" s="169"/>
      <c r="AM109" s="169"/>
      <c r="AN109" s="169"/>
      <c r="AO109" s="169"/>
      <c r="AP109" s="169"/>
      <c r="AQ109" s="169"/>
      <c r="AR109" s="169"/>
      <c r="AS109" s="169"/>
      <c r="AT109" s="169"/>
      <c r="AU109" s="169"/>
      <c r="AV109" s="169"/>
      <c r="AW109" s="169"/>
      <c r="AX109" s="169"/>
      <c r="AY109" s="169"/>
      <c r="AZ109" s="169"/>
      <c r="BA109" s="169"/>
      <c r="BB109" s="169"/>
      <c r="BC109" s="169"/>
      <c r="BD109" s="169"/>
      <c r="BE109" s="169"/>
      <c r="BF109" s="111"/>
      <c r="BG109" s="111"/>
      <c r="BH109" s="111"/>
      <c r="BI109" s="169"/>
      <c r="BJ109" s="111"/>
      <c r="BK109" s="172">
        <f t="shared" si="14"/>
        <v>100</v>
      </c>
      <c r="BL109" s="172">
        <f t="shared" si="9"/>
        <v>100</v>
      </c>
      <c r="BM109" s="172">
        <f t="shared" si="10"/>
        <v>100</v>
      </c>
      <c r="BN109" s="172">
        <f t="shared" si="11"/>
        <v>100</v>
      </c>
      <c r="BO109" s="172">
        <f t="shared" si="12"/>
        <v>100</v>
      </c>
      <c r="BP109" s="172">
        <v>107</v>
      </c>
      <c r="BQ109" s="172" t="s">
        <v>100</v>
      </c>
      <c r="BR109" s="172">
        <f t="shared" si="13"/>
        <v>0</v>
      </c>
      <c r="BS109" s="153"/>
    </row>
    <row r="110" spans="1:71" ht="15.75" thickBot="1" x14ac:dyDescent="0.3">
      <c r="A110" s="169"/>
      <c r="B110" s="170"/>
      <c r="C110" s="170"/>
      <c r="D110" s="170"/>
      <c r="E110" s="171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169"/>
      <c r="Z110" s="169"/>
      <c r="AA110" s="169"/>
      <c r="AB110" s="169"/>
      <c r="AC110" s="169"/>
      <c r="AD110" s="169"/>
      <c r="AE110" s="169"/>
      <c r="AF110" s="169"/>
      <c r="AG110" s="169"/>
      <c r="AH110" s="169"/>
      <c r="AI110" s="169"/>
      <c r="AJ110" s="169"/>
      <c r="AK110" s="169"/>
      <c r="AL110" s="169"/>
      <c r="AM110" s="169"/>
      <c r="AN110" s="169"/>
      <c r="AO110" s="169"/>
      <c r="AP110" s="169"/>
      <c r="AQ110" s="169"/>
      <c r="AR110" s="169"/>
      <c r="AS110" s="169"/>
      <c r="AT110" s="169"/>
      <c r="AU110" s="169"/>
      <c r="AV110" s="169"/>
      <c r="AW110" s="169"/>
      <c r="AX110" s="169"/>
      <c r="AY110" s="169"/>
      <c r="AZ110" s="169"/>
      <c r="BA110" s="169"/>
      <c r="BB110" s="169"/>
      <c r="BC110" s="169"/>
      <c r="BD110" s="169"/>
      <c r="BE110" s="169"/>
      <c r="BF110" s="111"/>
      <c r="BG110" s="111"/>
      <c r="BH110" s="111"/>
      <c r="BI110" s="169"/>
      <c r="BJ110" s="111"/>
      <c r="BK110" s="172">
        <f t="shared" si="14"/>
        <v>100</v>
      </c>
      <c r="BL110" s="172">
        <f t="shared" si="9"/>
        <v>100</v>
      </c>
      <c r="BM110" s="172">
        <f t="shared" si="10"/>
        <v>100</v>
      </c>
      <c r="BN110" s="172">
        <f t="shared" si="11"/>
        <v>100</v>
      </c>
      <c r="BO110" s="172">
        <f t="shared" si="12"/>
        <v>100</v>
      </c>
      <c r="BP110" s="172">
        <v>108</v>
      </c>
      <c r="BQ110" s="172" t="s">
        <v>100</v>
      </c>
      <c r="BR110" s="172">
        <f t="shared" si="13"/>
        <v>0</v>
      </c>
      <c r="BS110" s="153"/>
    </row>
    <row r="111" spans="1:71" ht="15.75" thickBot="1" x14ac:dyDescent="0.3">
      <c r="A111" s="169"/>
      <c r="B111" s="170"/>
      <c r="C111" s="170"/>
      <c r="D111" s="170"/>
      <c r="E111" s="171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  <c r="Y111" s="169"/>
      <c r="Z111" s="169"/>
      <c r="AA111" s="169"/>
      <c r="AB111" s="169"/>
      <c r="AC111" s="169"/>
      <c r="AD111" s="169"/>
      <c r="AE111" s="169"/>
      <c r="AF111" s="169"/>
      <c r="AG111" s="169"/>
      <c r="AH111" s="169"/>
      <c r="AI111" s="169"/>
      <c r="AJ111" s="169"/>
      <c r="AK111" s="169"/>
      <c r="AL111" s="169"/>
      <c r="AM111" s="169"/>
      <c r="AN111" s="169"/>
      <c r="AO111" s="169"/>
      <c r="AP111" s="169"/>
      <c r="AQ111" s="169"/>
      <c r="AR111" s="169"/>
      <c r="AS111" s="169"/>
      <c r="AT111" s="169"/>
      <c r="AU111" s="169"/>
      <c r="AV111" s="169"/>
      <c r="AW111" s="169"/>
      <c r="AX111" s="169"/>
      <c r="AY111" s="169"/>
      <c r="AZ111" s="169"/>
      <c r="BA111" s="169"/>
      <c r="BB111" s="169"/>
      <c r="BC111" s="169"/>
      <c r="BD111" s="169"/>
      <c r="BE111" s="169"/>
      <c r="BF111" s="111"/>
      <c r="BG111" s="111"/>
      <c r="BH111" s="111"/>
      <c r="BI111" s="169"/>
      <c r="BJ111" s="111"/>
      <c r="BK111" s="172">
        <f t="shared" si="14"/>
        <v>100</v>
      </c>
      <c r="BL111" s="172">
        <f t="shared" si="9"/>
        <v>100</v>
      </c>
      <c r="BM111" s="172">
        <f t="shared" si="10"/>
        <v>100</v>
      </c>
      <c r="BN111" s="172">
        <f t="shared" si="11"/>
        <v>100</v>
      </c>
      <c r="BO111" s="172">
        <f t="shared" si="12"/>
        <v>100</v>
      </c>
      <c r="BP111" s="172">
        <v>109</v>
      </c>
      <c r="BQ111" s="172" t="s">
        <v>100</v>
      </c>
      <c r="BR111" s="172">
        <f t="shared" si="13"/>
        <v>0</v>
      </c>
      <c r="BS111" s="153"/>
    </row>
    <row r="112" spans="1:71" ht="15.75" thickBot="1" x14ac:dyDescent="0.3">
      <c r="A112" s="169"/>
      <c r="B112" s="170"/>
      <c r="C112" s="170"/>
      <c r="D112" s="170"/>
      <c r="E112" s="171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169"/>
      <c r="Z112" s="169"/>
      <c r="AA112" s="169"/>
      <c r="AB112" s="169"/>
      <c r="AC112" s="169"/>
      <c r="AD112" s="169"/>
      <c r="AE112" s="169"/>
      <c r="AF112" s="169"/>
      <c r="AG112" s="169"/>
      <c r="AH112" s="169"/>
      <c r="AI112" s="169"/>
      <c r="AJ112" s="169"/>
      <c r="AK112" s="169"/>
      <c r="AL112" s="169"/>
      <c r="AM112" s="169"/>
      <c r="AN112" s="169"/>
      <c r="AO112" s="169"/>
      <c r="AP112" s="169"/>
      <c r="AQ112" s="169"/>
      <c r="AR112" s="169"/>
      <c r="AS112" s="169"/>
      <c r="AT112" s="169"/>
      <c r="AU112" s="169"/>
      <c r="AV112" s="169"/>
      <c r="AW112" s="169"/>
      <c r="AX112" s="169"/>
      <c r="AY112" s="169"/>
      <c r="AZ112" s="169"/>
      <c r="BA112" s="169"/>
      <c r="BB112" s="169"/>
      <c r="BC112" s="169"/>
      <c r="BD112" s="169"/>
      <c r="BE112" s="169"/>
      <c r="BF112" s="111"/>
      <c r="BG112" s="111"/>
      <c r="BH112" s="111"/>
      <c r="BI112" s="169"/>
      <c r="BJ112" s="111"/>
      <c r="BK112" s="172">
        <f t="shared" si="14"/>
        <v>100</v>
      </c>
      <c r="BL112" s="172">
        <f t="shared" si="9"/>
        <v>100</v>
      </c>
      <c r="BM112" s="172">
        <f t="shared" si="10"/>
        <v>100</v>
      </c>
      <c r="BN112" s="172">
        <f t="shared" si="11"/>
        <v>100</v>
      </c>
      <c r="BO112" s="172">
        <f t="shared" si="12"/>
        <v>100</v>
      </c>
      <c r="BP112" s="172">
        <v>110</v>
      </c>
      <c r="BQ112" s="172" t="s">
        <v>100</v>
      </c>
      <c r="BR112" s="172">
        <f t="shared" si="13"/>
        <v>0</v>
      </c>
      <c r="BS112" s="153"/>
    </row>
    <row r="113" spans="1:71" ht="15.75" thickBot="1" x14ac:dyDescent="0.3">
      <c r="A113" s="169"/>
      <c r="B113" s="170"/>
      <c r="C113" s="170"/>
      <c r="D113" s="170"/>
      <c r="E113" s="171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69"/>
      <c r="AE113" s="169"/>
      <c r="AF113" s="169"/>
      <c r="AG113" s="169"/>
      <c r="AH113" s="169"/>
      <c r="AI113" s="169"/>
      <c r="AJ113" s="169"/>
      <c r="AK113" s="169"/>
      <c r="AL113" s="169"/>
      <c r="AM113" s="169"/>
      <c r="AN113" s="169"/>
      <c r="AO113" s="169"/>
      <c r="AP113" s="169"/>
      <c r="AQ113" s="169"/>
      <c r="AR113" s="169"/>
      <c r="AS113" s="169"/>
      <c r="AT113" s="169"/>
      <c r="AU113" s="169"/>
      <c r="AV113" s="169"/>
      <c r="AW113" s="169"/>
      <c r="AX113" s="169"/>
      <c r="AY113" s="169"/>
      <c r="AZ113" s="169"/>
      <c r="BA113" s="169"/>
      <c r="BB113" s="169"/>
      <c r="BC113" s="169"/>
      <c r="BD113" s="169"/>
      <c r="BE113" s="169"/>
      <c r="BF113" s="111"/>
      <c r="BG113" s="111"/>
      <c r="BH113" s="111"/>
      <c r="BI113" s="169"/>
      <c r="BJ113" s="111"/>
      <c r="BK113" s="172">
        <f t="shared" si="14"/>
        <v>100</v>
      </c>
      <c r="BL113" s="172">
        <f t="shared" si="9"/>
        <v>100</v>
      </c>
      <c r="BM113" s="172">
        <f t="shared" si="10"/>
        <v>100</v>
      </c>
      <c r="BN113" s="172">
        <f t="shared" si="11"/>
        <v>100</v>
      </c>
      <c r="BO113" s="172">
        <f t="shared" si="12"/>
        <v>100</v>
      </c>
      <c r="BP113" s="172">
        <v>111</v>
      </c>
      <c r="BQ113" s="172" t="s">
        <v>100</v>
      </c>
      <c r="BR113" s="172">
        <f t="shared" si="13"/>
        <v>0</v>
      </c>
      <c r="BS113" s="153"/>
    </row>
  </sheetData>
  <conditionalFormatting sqref="J2">
    <cfRule type="duplicateValues" dxfId="133" priority="152"/>
    <cfRule type="duplicateValues" dxfId="132" priority="153"/>
    <cfRule type="duplicateValues" dxfId="131" priority="154"/>
  </conditionalFormatting>
  <conditionalFormatting sqref="K3:BJ113">
    <cfRule type="containsBlanks" dxfId="130" priority="147">
      <formula>LEN(TRIM(K3))=0</formula>
    </cfRule>
    <cfRule type="containsText" dxfId="129" priority="148" operator="containsText" text="NO">
      <formula>NOT(ISERROR(SEARCH("NO",K3)))</formula>
    </cfRule>
  </conditionalFormatting>
  <conditionalFormatting sqref="J1">
    <cfRule type="duplicateValues" dxfId="128" priority="155"/>
    <cfRule type="duplicateValues" dxfId="127" priority="156"/>
    <cfRule type="duplicateValues" dxfId="126" priority="157"/>
  </conditionalFormatting>
  <conditionalFormatting sqref="J1:J2">
    <cfRule type="duplicateValues" dxfId="125" priority="158"/>
    <cfRule type="duplicateValues" dxfId="124" priority="159"/>
  </conditionalFormatting>
  <conditionalFormatting sqref="A1">
    <cfRule type="duplicateValues" dxfId="123" priority="160"/>
    <cfRule type="duplicateValues" dxfId="122" priority="161"/>
    <cfRule type="duplicateValues" dxfId="121" priority="162"/>
  </conditionalFormatting>
  <conditionalFormatting sqref="A1">
    <cfRule type="duplicateValues" dxfId="120" priority="163"/>
    <cfRule type="duplicateValues" dxfId="119" priority="164"/>
  </conditionalFormatting>
  <conditionalFormatting sqref="J5:J113">
    <cfRule type="duplicateValues" dxfId="118" priority="165"/>
    <cfRule type="duplicateValues" dxfId="117" priority="166"/>
    <cfRule type="duplicateValues" dxfId="116" priority="167"/>
  </conditionalFormatting>
  <conditionalFormatting sqref="J5:J113">
    <cfRule type="duplicateValues" dxfId="115" priority="168"/>
    <cfRule type="duplicateValues" dxfId="114" priority="169"/>
  </conditionalFormatting>
  <conditionalFormatting sqref="A33:A82">
    <cfRule type="duplicateValues" dxfId="113" priority="142"/>
    <cfRule type="duplicateValues" dxfId="112" priority="143"/>
    <cfRule type="duplicateValues" dxfId="111" priority="144"/>
  </conditionalFormatting>
  <conditionalFormatting sqref="A33:A82">
    <cfRule type="duplicateValues" dxfId="110" priority="145"/>
    <cfRule type="duplicateValues" dxfId="109" priority="146"/>
  </conditionalFormatting>
  <conditionalFormatting sqref="A33:A113">
    <cfRule type="duplicateValues" dxfId="108" priority="132"/>
    <cfRule type="duplicateValues" dxfId="107" priority="133"/>
    <cfRule type="duplicateValues" dxfId="106" priority="134"/>
  </conditionalFormatting>
  <conditionalFormatting sqref="A33:A113">
    <cfRule type="duplicateValues" dxfId="105" priority="135"/>
    <cfRule type="duplicateValues" dxfId="104" priority="136"/>
  </conditionalFormatting>
  <conditionalFormatting sqref="A5:A32">
    <cfRule type="duplicateValues" dxfId="103" priority="82"/>
    <cfRule type="duplicateValues" dxfId="102" priority="83"/>
    <cfRule type="duplicateValues" dxfId="101" priority="84"/>
  </conditionalFormatting>
  <conditionalFormatting sqref="A5:A32">
    <cfRule type="duplicateValues" dxfId="100" priority="85"/>
    <cfRule type="duplicateValues" dxfId="99" priority="86"/>
  </conditionalFormatting>
  <conditionalFormatting sqref="A3">
    <cfRule type="duplicateValues" dxfId="98" priority="77"/>
    <cfRule type="duplicateValues" dxfId="97" priority="78"/>
    <cfRule type="duplicateValues" dxfId="96" priority="79"/>
  </conditionalFormatting>
  <conditionalFormatting sqref="A3">
    <cfRule type="duplicateValues" dxfId="95" priority="80"/>
    <cfRule type="duplicateValues" dxfId="94" priority="81"/>
  </conditionalFormatting>
  <conditionalFormatting sqref="J3">
    <cfRule type="duplicateValues" dxfId="93" priority="72"/>
    <cfRule type="duplicateValues" dxfId="92" priority="73"/>
    <cfRule type="duplicateValues" dxfId="91" priority="74"/>
  </conditionalFormatting>
  <conditionalFormatting sqref="J3">
    <cfRule type="duplicateValues" dxfId="90" priority="75"/>
    <cfRule type="duplicateValues" dxfId="89" priority="76"/>
  </conditionalFormatting>
  <conditionalFormatting sqref="A4">
    <cfRule type="duplicateValues" dxfId="88" priority="67"/>
    <cfRule type="duplicateValues" dxfId="87" priority="68"/>
    <cfRule type="duplicateValues" dxfId="86" priority="69"/>
  </conditionalFormatting>
  <conditionalFormatting sqref="A4">
    <cfRule type="duplicateValues" dxfId="85" priority="70"/>
    <cfRule type="duplicateValues" dxfId="84" priority="71"/>
  </conditionalFormatting>
  <conditionalFormatting sqref="J4">
    <cfRule type="duplicateValues" dxfId="83" priority="62"/>
    <cfRule type="duplicateValues" dxfId="82" priority="63"/>
    <cfRule type="duplicateValues" dxfId="81" priority="64"/>
  </conditionalFormatting>
  <conditionalFormatting sqref="J4">
    <cfRule type="duplicateValues" dxfId="80" priority="65"/>
    <cfRule type="duplicateValues" dxfId="79" priority="66"/>
  </conditionalFormatting>
  <conditionalFormatting sqref="A1 J1:J1048576 A3:A1048576">
    <cfRule type="duplicateValues" dxfId="78" priority="61"/>
  </conditionalFormatting>
  <conditionalFormatting sqref="J4">
    <cfRule type="duplicateValues" dxfId="77" priority="56"/>
    <cfRule type="duplicateValues" dxfId="76" priority="57"/>
    <cfRule type="duplicateValues" dxfId="75" priority="58"/>
  </conditionalFormatting>
  <conditionalFormatting sqref="J4">
    <cfRule type="duplicateValues" dxfId="74" priority="59"/>
    <cfRule type="duplicateValues" dxfId="73" priority="60"/>
  </conditionalFormatting>
  <conditionalFormatting sqref="J4">
    <cfRule type="duplicateValues" dxfId="72" priority="51"/>
    <cfRule type="duplicateValues" dxfId="71" priority="52"/>
    <cfRule type="duplicateValues" dxfId="70" priority="53"/>
  </conditionalFormatting>
  <conditionalFormatting sqref="J4">
    <cfRule type="duplicateValues" dxfId="69" priority="54"/>
    <cfRule type="duplicateValues" dxfId="68" priority="55"/>
  </conditionalFormatting>
  <conditionalFormatting sqref="A3">
    <cfRule type="duplicateValues" dxfId="67" priority="46"/>
    <cfRule type="duplicateValues" dxfId="66" priority="47"/>
    <cfRule type="duplicateValues" dxfId="65" priority="48"/>
  </conditionalFormatting>
  <conditionalFormatting sqref="A3">
    <cfRule type="duplicateValues" dxfId="64" priority="49"/>
    <cfRule type="duplicateValues" dxfId="63" priority="50"/>
  </conditionalFormatting>
  <conditionalFormatting sqref="A4">
    <cfRule type="duplicateValues" dxfId="62" priority="41"/>
    <cfRule type="duplicateValues" dxfId="61" priority="42"/>
    <cfRule type="duplicateValues" dxfId="60" priority="43"/>
  </conditionalFormatting>
  <conditionalFormatting sqref="A4">
    <cfRule type="duplicateValues" dxfId="59" priority="44"/>
    <cfRule type="duplicateValues" dxfId="58" priority="45"/>
  </conditionalFormatting>
  <conditionalFormatting sqref="A4">
    <cfRule type="duplicateValues" dxfId="57" priority="36"/>
    <cfRule type="duplicateValues" dxfId="56" priority="37"/>
    <cfRule type="duplicateValues" dxfId="55" priority="38"/>
  </conditionalFormatting>
  <conditionalFormatting sqref="A4">
    <cfRule type="duplicateValues" dxfId="54" priority="39"/>
    <cfRule type="duplicateValues" dxfId="53" priority="40"/>
  </conditionalFormatting>
  <conditionalFormatting sqref="A5:A32">
    <cfRule type="duplicateValues" dxfId="52" priority="31"/>
    <cfRule type="duplicateValues" dxfId="51" priority="32"/>
    <cfRule type="duplicateValues" dxfId="50" priority="33"/>
  </conditionalFormatting>
  <conditionalFormatting sqref="A5:A32">
    <cfRule type="duplicateValues" dxfId="49" priority="34"/>
    <cfRule type="duplicateValues" dxfId="48" priority="35"/>
  </conditionalFormatting>
  <conditionalFormatting sqref="A3">
    <cfRule type="duplicateValues" dxfId="47" priority="26"/>
    <cfRule type="duplicateValues" dxfId="46" priority="27"/>
    <cfRule type="duplicateValues" dxfId="45" priority="28"/>
  </conditionalFormatting>
  <conditionalFormatting sqref="A3">
    <cfRule type="duplicateValues" dxfId="44" priority="29"/>
    <cfRule type="duplicateValues" dxfId="43" priority="30"/>
  </conditionalFormatting>
  <conditionalFormatting sqref="A4">
    <cfRule type="duplicateValues" dxfId="42" priority="21"/>
    <cfRule type="duplicateValues" dxfId="41" priority="22"/>
    <cfRule type="duplicateValues" dxfId="40" priority="23"/>
  </conditionalFormatting>
  <conditionalFormatting sqref="A4">
    <cfRule type="duplicateValues" dxfId="39" priority="24"/>
    <cfRule type="duplicateValues" dxfId="38" priority="25"/>
  </conditionalFormatting>
  <conditionalFormatting sqref="A4">
    <cfRule type="duplicateValues" dxfId="37" priority="16"/>
    <cfRule type="duplicateValues" dxfId="36" priority="17"/>
    <cfRule type="duplicateValues" dxfId="35" priority="18"/>
  </conditionalFormatting>
  <conditionalFormatting sqref="A4">
    <cfRule type="duplicateValues" dxfId="34" priority="19"/>
    <cfRule type="duplicateValues" dxfId="33" priority="20"/>
  </conditionalFormatting>
  <conditionalFormatting sqref="A4">
    <cfRule type="duplicateValues" dxfId="32" priority="11"/>
    <cfRule type="duplicateValues" dxfId="31" priority="12"/>
    <cfRule type="duplicateValues" dxfId="30" priority="13"/>
  </conditionalFormatting>
  <conditionalFormatting sqref="A4">
    <cfRule type="duplicateValues" dxfId="29" priority="14"/>
    <cfRule type="duplicateValues" dxfId="28" priority="15"/>
  </conditionalFormatting>
  <conditionalFormatting sqref="A3">
    <cfRule type="duplicateValues" dxfId="27" priority="6"/>
    <cfRule type="duplicateValues" dxfId="26" priority="7"/>
    <cfRule type="duplicateValues" dxfId="25" priority="8"/>
  </conditionalFormatting>
  <conditionalFormatting sqref="A3">
    <cfRule type="duplicateValues" dxfId="24" priority="9"/>
    <cfRule type="duplicateValues" dxfId="23" priority="10"/>
  </conditionalFormatting>
  <conditionalFormatting sqref="A3">
    <cfRule type="duplicateValues" dxfId="22" priority="1"/>
    <cfRule type="duplicateValues" dxfId="21" priority="2"/>
    <cfRule type="duplicateValues" dxfId="20" priority="3"/>
  </conditionalFormatting>
  <conditionalFormatting sqref="A3">
    <cfRule type="duplicateValues" dxfId="19" priority="4"/>
    <cfRule type="duplicateValues" dxfId="18" priority="5"/>
  </conditionalFormatting>
  <hyperlinks>
    <hyperlink ref="BI3" r:id="rId1" xr:uid="{961059FF-3330-478A-9C3F-F56BADB04F7E}"/>
    <hyperlink ref="BH3" r:id="rId2" xr:uid="{1FDBDEEF-9D98-490F-8B1D-1B9047342832}"/>
    <hyperlink ref="BG3" r:id="rId3" xr:uid="{BE828AE6-EF54-4767-85B2-F50B23411075}"/>
    <hyperlink ref="BF3" r:id="rId4" xr:uid="{4DDB36A7-36CF-45BA-B28E-3371D2D735FC}"/>
    <hyperlink ref="BJ3" r:id="rId5" xr:uid="{DE1C7A98-8AD1-4960-84EF-70BD40152D4E}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A1:J192"/>
  <sheetViews>
    <sheetView showGridLines="0" view="pageBreakPreview" zoomScale="85" zoomScaleNormal="100" zoomScaleSheetLayoutView="85" workbookViewId="0">
      <selection activeCell="B6" sqref="B6"/>
    </sheetView>
  </sheetViews>
  <sheetFormatPr baseColWidth="10" defaultColWidth="11.42578125" defaultRowHeight="15" x14ac:dyDescent="0.25"/>
  <cols>
    <col min="1" max="1" width="19.7109375" style="99" customWidth="1"/>
    <col min="2" max="2" width="19.42578125" style="99" customWidth="1"/>
    <col min="3" max="3" width="72.7109375" style="99" bestFit="1" customWidth="1"/>
    <col min="4" max="4" width="11.42578125" style="100" customWidth="1"/>
    <col min="5" max="5" width="12.85546875" style="99" bestFit="1" customWidth="1"/>
    <col min="6" max="6" width="24.140625" style="99" customWidth="1"/>
    <col min="7" max="16384" width="11.42578125" style="99"/>
  </cols>
  <sheetData>
    <row r="1" spans="1:7" ht="31.5" x14ac:dyDescent="0.25">
      <c r="A1" s="112"/>
      <c r="D1" s="99"/>
      <c r="E1" s="184"/>
      <c r="F1" s="184"/>
    </row>
    <row r="2" spans="1:7" ht="19.5" x14ac:dyDescent="0.25">
      <c r="A2" s="113"/>
      <c r="B2" s="176" t="s">
        <v>131</v>
      </c>
      <c r="D2" s="113"/>
      <c r="E2" s="113"/>
      <c r="F2" s="113"/>
      <c r="G2" s="114"/>
    </row>
    <row r="3" spans="1:7" x14ac:dyDescent="0.25">
      <c r="A3" s="115" t="s">
        <v>12</v>
      </c>
      <c r="B3" s="116" t="e">
        <f>VLOOKUP($B$6,GPON!$A:$BS,5,0)</f>
        <v>#N/A</v>
      </c>
      <c r="C3" s="117"/>
      <c r="D3" s="115" t="s">
        <v>11</v>
      </c>
      <c r="E3" s="212" t="e">
        <f>VLOOKUP($B$6,GPON!$A:$BS,2,0)</f>
        <v>#N/A</v>
      </c>
      <c r="F3" s="212"/>
    </row>
    <row r="4" spans="1:7" x14ac:dyDescent="0.25">
      <c r="A4" s="115" t="s">
        <v>26</v>
      </c>
      <c r="B4" s="116" t="s">
        <v>61</v>
      </c>
      <c r="C4" s="117"/>
      <c r="D4" s="117"/>
      <c r="E4" s="117"/>
      <c r="F4" s="117"/>
      <c r="G4" s="115"/>
    </row>
    <row r="5" spans="1:7" x14ac:dyDescent="0.25">
      <c r="A5" s="112" t="s">
        <v>13</v>
      </c>
      <c r="B5" s="118" t="e">
        <f>VLOOKUP($B$6,GPON!$A:$BS,6,0)</f>
        <v>#N/A</v>
      </c>
      <c r="D5" s="99"/>
      <c r="F5" s="117"/>
    </row>
    <row r="6" spans="1:7" x14ac:dyDescent="0.25">
      <c r="A6" s="112" t="s">
        <v>62</v>
      </c>
      <c r="B6" s="110"/>
      <c r="C6" s="117"/>
      <c r="D6" s="117"/>
      <c r="E6" s="117"/>
      <c r="F6" s="117"/>
      <c r="G6" s="115"/>
    </row>
    <row r="7" spans="1:7" x14ac:dyDescent="0.25">
      <c r="A7" s="115" t="s">
        <v>28</v>
      </c>
      <c r="B7" s="119" t="e">
        <f>VLOOKUP($B$6,GPON!$A:$BS,7,0)</f>
        <v>#N/A</v>
      </c>
      <c r="C7" s="117"/>
      <c r="D7" s="117"/>
      <c r="E7" s="117"/>
      <c r="F7" s="117"/>
      <c r="G7" s="117"/>
    </row>
    <row r="8" spans="1:7" x14ac:dyDescent="0.25">
      <c r="A8" s="117"/>
      <c r="B8" s="117"/>
      <c r="C8" s="120"/>
      <c r="D8" s="120"/>
      <c r="E8" s="120"/>
      <c r="F8" s="120"/>
      <c r="G8" s="117"/>
    </row>
    <row r="9" spans="1:7" ht="25.5" x14ac:dyDescent="0.25">
      <c r="A9" s="213" t="s">
        <v>29</v>
      </c>
      <c r="B9" s="214"/>
      <c r="C9" s="121" t="e">
        <f>VLOOKUP($B$6,GPON!$A:$BS,8,0)</f>
        <v>#N/A</v>
      </c>
      <c r="D9" s="122" t="s">
        <v>30</v>
      </c>
      <c r="E9" s="215"/>
      <c r="F9" s="215"/>
    </row>
    <row r="10" spans="1:7" ht="25.5" x14ac:dyDescent="0.25">
      <c r="A10" s="216" t="s">
        <v>31</v>
      </c>
      <c r="B10" s="217"/>
      <c r="C10" s="121" t="e">
        <f>VLOOKUP($B$6,GPON!$A:$BS,9,0)</f>
        <v>#N/A</v>
      </c>
      <c r="D10" s="122" t="s">
        <v>30</v>
      </c>
      <c r="E10" s="215"/>
      <c r="F10" s="215"/>
    </row>
    <row r="13" spans="1:7" ht="15.75" thickBot="1" x14ac:dyDescent="0.3">
      <c r="F13" s="117"/>
    </row>
    <row r="14" spans="1:7" ht="15.75" thickBot="1" x14ac:dyDescent="0.3">
      <c r="A14" s="8" t="s">
        <v>32</v>
      </c>
      <c r="B14" s="9" t="s">
        <v>33</v>
      </c>
      <c r="C14" s="10" t="s">
        <v>34</v>
      </c>
      <c r="D14" s="11" t="s">
        <v>35</v>
      </c>
      <c r="E14" s="8" t="s">
        <v>36</v>
      </c>
      <c r="F14" s="8" t="s">
        <v>39</v>
      </c>
    </row>
    <row r="15" spans="1:7" x14ac:dyDescent="0.25">
      <c r="A15" s="218" t="s">
        <v>101</v>
      </c>
      <c r="B15" s="197">
        <f>SUM(D15:D23)</f>
        <v>5</v>
      </c>
      <c r="C15" s="200" t="s">
        <v>81</v>
      </c>
      <c r="D15" s="203">
        <v>5</v>
      </c>
      <c r="E15" s="206" t="e">
        <f>VLOOKUP($B$6,GPON!$A:$BS,11,0)</f>
        <v>#N/A</v>
      </c>
      <c r="F15" s="209" t="e">
        <f>IF(E15="si",5,IF(E15="no",0,IF(E15="n/a",5)))</f>
        <v>#N/A</v>
      </c>
    </row>
    <row r="16" spans="1:7" x14ac:dyDescent="0.25">
      <c r="A16" s="219"/>
      <c r="B16" s="198"/>
      <c r="C16" s="201"/>
      <c r="D16" s="204"/>
      <c r="E16" s="207"/>
      <c r="F16" s="210"/>
    </row>
    <row r="17" spans="1:10" x14ac:dyDescent="0.25">
      <c r="A17" s="219"/>
      <c r="B17" s="198"/>
      <c r="C17" s="201"/>
      <c r="D17" s="204"/>
      <c r="E17" s="207"/>
      <c r="F17" s="210"/>
    </row>
    <row r="18" spans="1:10" x14ac:dyDescent="0.25">
      <c r="A18" s="219"/>
      <c r="B18" s="198"/>
      <c r="C18" s="201"/>
      <c r="D18" s="204"/>
      <c r="E18" s="207"/>
      <c r="F18" s="210"/>
    </row>
    <row r="19" spans="1:10" x14ac:dyDescent="0.25">
      <c r="A19" s="219"/>
      <c r="B19" s="198"/>
      <c r="C19" s="201"/>
      <c r="D19" s="204"/>
      <c r="E19" s="207"/>
      <c r="F19" s="210"/>
    </row>
    <row r="20" spans="1:10" x14ac:dyDescent="0.25">
      <c r="A20" s="219"/>
      <c r="B20" s="198"/>
      <c r="C20" s="201"/>
      <c r="D20" s="204"/>
      <c r="E20" s="207"/>
      <c r="F20" s="210"/>
    </row>
    <row r="21" spans="1:10" x14ac:dyDescent="0.25">
      <c r="A21" s="219"/>
      <c r="B21" s="198"/>
      <c r="C21" s="201"/>
      <c r="D21" s="204"/>
      <c r="E21" s="207"/>
      <c r="F21" s="210"/>
    </row>
    <row r="22" spans="1:10" x14ac:dyDescent="0.25">
      <c r="A22" s="219"/>
      <c r="B22" s="198"/>
      <c r="C22" s="201"/>
      <c r="D22" s="204"/>
      <c r="E22" s="207"/>
      <c r="F22" s="210"/>
    </row>
    <row r="23" spans="1:10" ht="15.75" thickBot="1" x14ac:dyDescent="0.3">
      <c r="A23" s="220"/>
      <c r="B23" s="199"/>
      <c r="C23" s="202"/>
      <c r="D23" s="205"/>
      <c r="E23" s="208"/>
      <c r="F23" s="211"/>
    </row>
    <row r="24" spans="1:10" ht="15.75" thickBot="1" x14ac:dyDescent="0.3">
      <c r="A24" s="152"/>
      <c r="B24" s="194"/>
      <c r="C24" s="195"/>
      <c r="D24" s="195"/>
      <c r="E24" s="196"/>
      <c r="F24" s="117"/>
    </row>
    <row r="25" spans="1:10" x14ac:dyDescent="0.25">
      <c r="A25" s="185" t="s">
        <v>87</v>
      </c>
      <c r="B25" s="197">
        <f>SUM(D25:D29)</f>
        <v>45</v>
      </c>
      <c r="C25" s="123" t="s">
        <v>82</v>
      </c>
      <c r="D25" s="157">
        <v>5</v>
      </c>
      <c r="E25" s="124" t="e">
        <f>VLOOKUP($B$6,GPON!$A:$BS,12,0)</f>
        <v>#N/A</v>
      </c>
      <c r="F25" s="125" t="e">
        <f t="shared" ref="F25:F26" si="0">IF(E25="si",5,IF(E25="no",0,IF(E25="n/a",5)))</f>
        <v>#N/A</v>
      </c>
    </row>
    <row r="26" spans="1:10" x14ac:dyDescent="0.25">
      <c r="A26" s="186"/>
      <c r="B26" s="198"/>
      <c r="C26" s="126" t="s">
        <v>83</v>
      </c>
      <c r="D26" s="158">
        <v>5</v>
      </c>
      <c r="E26" s="127" t="e">
        <f>VLOOKUP($B$6,GPON!$A:$BS,13,0)</f>
        <v>#N/A</v>
      </c>
      <c r="F26" s="128" t="e">
        <f t="shared" si="0"/>
        <v>#N/A</v>
      </c>
    </row>
    <row r="27" spans="1:10" x14ac:dyDescent="0.25">
      <c r="A27" s="186"/>
      <c r="B27" s="198"/>
      <c r="C27" s="126" t="s">
        <v>102</v>
      </c>
      <c r="D27" s="158">
        <v>10</v>
      </c>
      <c r="E27" s="127" t="e">
        <f>VLOOKUP($B$6,GPON!$A:$BS,14,0)</f>
        <v>#N/A</v>
      </c>
      <c r="F27" s="128" t="e">
        <f>IF(E27="si",10,IF(E27="no",0,IF(E27="n/a",10)))</f>
        <v>#N/A</v>
      </c>
    </row>
    <row r="28" spans="1:10" x14ac:dyDescent="0.25">
      <c r="A28" s="186"/>
      <c r="B28" s="198"/>
      <c r="C28" s="126" t="s">
        <v>85</v>
      </c>
      <c r="D28" s="158">
        <v>15</v>
      </c>
      <c r="E28" s="127" t="e">
        <f>VLOOKUP($B$6,GPON!$A:$BS,15,0)</f>
        <v>#N/A</v>
      </c>
      <c r="F28" s="128" t="e">
        <f>IF(E28="si",15,IF(E28="no",0,IF(E28="n/a",15)))</f>
        <v>#N/A</v>
      </c>
    </row>
    <row r="29" spans="1:10" ht="15.75" thickBot="1" x14ac:dyDescent="0.3">
      <c r="A29" s="187"/>
      <c r="B29" s="199"/>
      <c r="C29" s="129" t="s">
        <v>86</v>
      </c>
      <c r="D29" s="159">
        <v>10</v>
      </c>
      <c r="E29" s="130" t="e">
        <f>VLOOKUP($B$6,GPON!$A:$BS,16,0)</f>
        <v>#N/A</v>
      </c>
      <c r="F29" s="131" t="e">
        <f>IF(E29="si",10,IF(E29="no",0,IF(E29="n/a",10)))</f>
        <v>#N/A</v>
      </c>
    </row>
    <row r="30" spans="1:10" ht="15.75" thickBot="1" x14ac:dyDescent="0.3">
      <c r="D30" s="99"/>
      <c r="F30" s="117"/>
    </row>
    <row r="31" spans="1:10" ht="15.75" thickBot="1" x14ac:dyDescent="0.3">
      <c r="A31" s="8" t="s">
        <v>32</v>
      </c>
      <c r="B31" s="9" t="s">
        <v>33</v>
      </c>
      <c r="C31" s="10" t="s">
        <v>34</v>
      </c>
      <c r="D31" s="11" t="s">
        <v>35</v>
      </c>
      <c r="E31" s="8" t="s">
        <v>36</v>
      </c>
      <c r="F31" s="8" t="s">
        <v>39</v>
      </c>
    </row>
    <row r="32" spans="1:10" ht="15" customHeight="1" x14ac:dyDescent="0.25">
      <c r="A32" s="185" t="s">
        <v>88</v>
      </c>
      <c r="B32" s="188">
        <v>0.3</v>
      </c>
      <c r="C32" s="160" t="s">
        <v>89</v>
      </c>
      <c r="D32" s="157">
        <v>5</v>
      </c>
      <c r="E32" s="163" t="e">
        <f>VLOOKUP($B$6,GPON!$A:$BS,17,0)</f>
        <v>#N/A</v>
      </c>
      <c r="F32" s="125" t="e">
        <f>IF(E32="si",5,IF(E32="no",0,IF(E32="n/a",5)))</f>
        <v>#N/A</v>
      </c>
      <c r="J32" s="100"/>
    </row>
    <row r="33" spans="1:7" x14ac:dyDescent="0.25">
      <c r="A33" s="186"/>
      <c r="B33" s="189"/>
      <c r="C33" s="161" t="s">
        <v>90</v>
      </c>
      <c r="D33" s="158">
        <v>5</v>
      </c>
      <c r="E33" s="164" t="e">
        <f>VLOOKUP($B$6,GPON!$A:$BS,18,0)</f>
        <v>#N/A</v>
      </c>
      <c r="F33" s="128" t="e">
        <f>IF(E33="si",5,IF(E33="no",0,IF(E33="n/a",5)))</f>
        <v>#N/A</v>
      </c>
    </row>
    <row r="34" spans="1:7" x14ac:dyDescent="0.25">
      <c r="A34" s="186"/>
      <c r="B34" s="189"/>
      <c r="C34" s="161" t="s">
        <v>91</v>
      </c>
      <c r="D34" s="158">
        <v>5</v>
      </c>
      <c r="E34" s="164" t="e">
        <f>VLOOKUP($B$6,GPON!$A:$BS,19,0)</f>
        <v>#N/A</v>
      </c>
      <c r="F34" s="128" t="e">
        <f>IF(E34="si",5,IF(E34="no",0,IF(E34="n/a",5)))</f>
        <v>#N/A</v>
      </c>
    </row>
    <row r="35" spans="1:7" x14ac:dyDescent="0.25">
      <c r="A35" s="186"/>
      <c r="B35" s="189"/>
      <c r="C35" s="161" t="s">
        <v>92</v>
      </c>
      <c r="D35" s="158">
        <v>10</v>
      </c>
      <c r="E35" s="164" t="e">
        <f>VLOOKUP($B$6,GPON!$A:$BS,20,0)</f>
        <v>#N/A</v>
      </c>
      <c r="F35" s="128" t="e">
        <f>IF(E35="si",10,IF(E35="no",0,IF(E35="n/a",10)))</f>
        <v>#N/A</v>
      </c>
    </row>
    <row r="36" spans="1:7" ht="38.25" x14ac:dyDescent="0.25">
      <c r="A36" s="186"/>
      <c r="B36" s="189"/>
      <c r="C36" s="161" t="s">
        <v>93</v>
      </c>
      <c r="D36" s="158">
        <v>10</v>
      </c>
      <c r="E36" s="164" t="e">
        <f>VLOOKUP($B$6,GPON!$A:$BS,21,0)</f>
        <v>#N/A</v>
      </c>
      <c r="F36" s="128" t="e">
        <f>IF(E36="si",10,IF(E36="no",0,IF(E36="n/a",10)))</f>
        <v>#N/A</v>
      </c>
    </row>
    <row r="37" spans="1:7" x14ac:dyDescent="0.25">
      <c r="A37" s="186"/>
      <c r="B37" s="189"/>
      <c r="C37" s="161" t="s">
        <v>94</v>
      </c>
      <c r="D37" s="158">
        <v>10</v>
      </c>
      <c r="E37" s="164" t="e">
        <f>VLOOKUP($B$6,GPON!$A:$BS,22,0)</f>
        <v>#N/A</v>
      </c>
      <c r="F37" s="128" t="e">
        <f>IF(E37="si",10,IF(E37="no",0,IF(E37="n/a",10)))</f>
        <v>#N/A</v>
      </c>
    </row>
    <row r="38" spans="1:7" ht="15.75" thickBot="1" x14ac:dyDescent="0.3">
      <c r="A38" s="187"/>
      <c r="B38" s="190"/>
      <c r="C38" s="162" t="s">
        <v>95</v>
      </c>
      <c r="D38" s="159">
        <v>5</v>
      </c>
      <c r="E38" s="165" t="e">
        <f>VLOOKUP($B$6,GPON!$A:$BS,23,0)</f>
        <v>#N/A</v>
      </c>
      <c r="F38" s="131" t="e">
        <f>IF(E38="si",5,IF(E38="no",0,IF(E38="n/a",5)))</f>
        <v>#N/A</v>
      </c>
    </row>
    <row r="39" spans="1:7" s="112" customFormat="1" ht="13.5" thickBot="1" x14ac:dyDescent="0.3">
      <c r="A39" s="122"/>
      <c r="B39" s="132"/>
      <c r="C39" s="133"/>
      <c r="D39" s="133"/>
      <c r="E39" s="133"/>
    </row>
    <row r="40" spans="1:7" s="112" customFormat="1" ht="12.75" x14ac:dyDescent="0.25">
      <c r="A40" s="134" t="s">
        <v>37</v>
      </c>
      <c r="B40" s="191" t="e">
        <f>VLOOKUP($B$6,GPON!$A:$BS,71,0)</f>
        <v>#N/A</v>
      </c>
      <c r="C40" s="191" t="e">
        <f>VLOOKUP($B$6,GPON!$A:$BS,40,0)</f>
        <v>#N/A</v>
      </c>
      <c r="D40" s="191" t="e">
        <f>VLOOKUP($B$6,GPON!$A:$BS,40,0)</f>
        <v>#N/A</v>
      </c>
      <c r="E40" s="135"/>
    </row>
    <row r="41" spans="1:7" s="112" customFormat="1" ht="13.5" thickBot="1" x14ac:dyDescent="0.3">
      <c r="A41" s="136"/>
      <c r="B41" s="192" t="e">
        <f>VLOOKUP($B$6,GPON!$A:$BS,40,0)</f>
        <v>#N/A</v>
      </c>
      <c r="C41" s="192" t="e">
        <f>VLOOKUP($B$6,GPON!$A:$BS,40,0)</f>
        <v>#N/A</v>
      </c>
      <c r="D41" s="192" t="e">
        <f>VLOOKUP($B$6,GPON!$A:$BS,40,0)</f>
        <v>#N/A</v>
      </c>
      <c r="E41" s="137"/>
    </row>
    <row r="42" spans="1:7" s="112" customFormat="1" ht="16.5" thickBot="1" x14ac:dyDescent="0.3">
      <c r="A42" s="138"/>
      <c r="B42" s="193" t="e">
        <f>VLOOKUP($B$6,GPON!$A:$BS,40,0)</f>
        <v>#N/A</v>
      </c>
      <c r="C42" s="193" t="e">
        <f>VLOOKUP($B$6,GPON!$A:$BS,40,0)</f>
        <v>#N/A</v>
      </c>
      <c r="D42" s="193" t="e">
        <f>VLOOKUP($B$6,GPON!$A:$BS,40,0)</f>
        <v>#N/A</v>
      </c>
      <c r="E42" s="139"/>
      <c r="F42" s="140" t="e">
        <f>IF(F15="NO",SUM(F15:F29)+45,SUM(F15:F29,F32:F38))</f>
        <v>#N/A</v>
      </c>
    </row>
    <row r="43" spans="1:7" s="112" customFormat="1" ht="12.75" x14ac:dyDescent="0.25"/>
    <row r="45" spans="1:7" x14ac:dyDescent="0.25">
      <c r="A45" s="141" t="s">
        <v>77</v>
      </c>
      <c r="B45" s="142" t="s">
        <v>78</v>
      </c>
      <c r="C45" s="143"/>
      <c r="D45" s="144" t="s">
        <v>79</v>
      </c>
      <c r="E45" s="145"/>
      <c r="F45" s="142" t="s">
        <v>72</v>
      </c>
    </row>
    <row r="46" spans="1:7" x14ac:dyDescent="0.25">
      <c r="A46" s="146"/>
      <c r="B46" s="147"/>
      <c r="C46" s="148"/>
      <c r="D46" s="148"/>
      <c r="E46" s="145"/>
      <c r="F46" s="143"/>
      <c r="G46" s="143"/>
    </row>
    <row r="47" spans="1:7" x14ac:dyDescent="0.25">
      <c r="A47" s="149" t="s">
        <v>73</v>
      </c>
      <c r="B47" s="149" t="s">
        <v>80</v>
      </c>
      <c r="C47" s="143"/>
      <c r="D47" s="148" t="s">
        <v>75</v>
      </c>
      <c r="E47" s="145"/>
      <c r="F47" s="149" t="s">
        <v>76</v>
      </c>
    </row>
    <row r="52" spans="2:6" ht="31.5" x14ac:dyDescent="0.25">
      <c r="E52" s="184"/>
      <c r="F52" s="184"/>
    </row>
    <row r="55" spans="2:6" x14ac:dyDescent="0.25">
      <c r="B55" s="143" t="e">
        <f>VLOOKUP($B$6,GPON!$A:$BS,58,0)</f>
        <v>#N/A</v>
      </c>
      <c r="D55" s="150" t="e">
        <f>HYPERLINK(B55,"Abrir Imagen")</f>
        <v>#N/A</v>
      </c>
      <c r="E55" s="151"/>
    </row>
    <row r="58" spans="2:6" x14ac:dyDescent="0.25">
      <c r="D58" s="103"/>
    </row>
    <row r="59" spans="2:6" x14ac:dyDescent="0.25">
      <c r="D59" s="103"/>
    </row>
    <row r="60" spans="2:6" x14ac:dyDescent="0.25">
      <c r="D60" s="103"/>
    </row>
    <row r="61" spans="2:6" x14ac:dyDescent="0.25">
      <c r="D61" s="103"/>
    </row>
    <row r="62" spans="2:6" x14ac:dyDescent="0.25">
      <c r="D62" s="103"/>
    </row>
    <row r="63" spans="2:6" x14ac:dyDescent="0.25">
      <c r="D63" s="103"/>
    </row>
    <row r="64" spans="2:6" x14ac:dyDescent="0.25">
      <c r="D64" s="103"/>
    </row>
    <row r="65" spans="4:4" x14ac:dyDescent="0.25">
      <c r="D65" s="103"/>
    </row>
    <row r="66" spans="4:4" x14ac:dyDescent="0.25">
      <c r="D66" s="103"/>
    </row>
    <row r="67" spans="4:4" x14ac:dyDescent="0.25">
      <c r="D67" s="103"/>
    </row>
    <row r="68" spans="4:4" x14ac:dyDescent="0.25">
      <c r="D68" s="103"/>
    </row>
    <row r="69" spans="4:4" x14ac:dyDescent="0.25">
      <c r="D69" s="103"/>
    </row>
    <row r="70" spans="4:4" x14ac:dyDescent="0.25">
      <c r="D70" s="103"/>
    </row>
    <row r="71" spans="4:4" x14ac:dyDescent="0.25">
      <c r="D71" s="103"/>
    </row>
    <row r="72" spans="4:4" x14ac:dyDescent="0.25">
      <c r="D72" s="103"/>
    </row>
    <row r="73" spans="4:4" x14ac:dyDescent="0.25">
      <c r="D73" s="103"/>
    </row>
    <row r="74" spans="4:4" x14ac:dyDescent="0.25">
      <c r="D74" s="103"/>
    </row>
    <row r="75" spans="4:4" x14ac:dyDescent="0.25">
      <c r="D75" s="103"/>
    </row>
    <row r="76" spans="4:4" x14ac:dyDescent="0.25">
      <c r="D76" s="103"/>
    </row>
    <row r="77" spans="4:4" x14ac:dyDescent="0.25">
      <c r="D77" s="103"/>
    </row>
    <row r="78" spans="4:4" x14ac:dyDescent="0.25">
      <c r="D78" s="103"/>
    </row>
    <row r="79" spans="4:4" x14ac:dyDescent="0.25">
      <c r="D79" s="103"/>
    </row>
    <row r="80" spans="4:4" x14ac:dyDescent="0.25">
      <c r="D80" s="103"/>
    </row>
    <row r="81" spans="4:4" x14ac:dyDescent="0.25">
      <c r="D81" s="103"/>
    </row>
    <row r="82" spans="4:4" x14ac:dyDescent="0.25">
      <c r="D82" s="103"/>
    </row>
    <row r="83" spans="4:4" x14ac:dyDescent="0.25">
      <c r="D83" s="103"/>
    </row>
    <row r="84" spans="4:4" x14ac:dyDescent="0.25">
      <c r="D84" s="103"/>
    </row>
    <row r="85" spans="4:4" x14ac:dyDescent="0.25">
      <c r="D85" s="103"/>
    </row>
    <row r="86" spans="4:4" x14ac:dyDescent="0.25">
      <c r="D86" s="103"/>
    </row>
    <row r="87" spans="4:4" x14ac:dyDescent="0.25">
      <c r="D87" s="103"/>
    </row>
    <row r="88" spans="4:4" x14ac:dyDescent="0.25">
      <c r="D88" s="103"/>
    </row>
    <row r="89" spans="4:4" x14ac:dyDescent="0.25">
      <c r="D89" s="103"/>
    </row>
    <row r="90" spans="4:4" x14ac:dyDescent="0.25">
      <c r="D90" s="103"/>
    </row>
    <row r="91" spans="4:4" x14ac:dyDescent="0.25">
      <c r="D91" s="103"/>
    </row>
    <row r="92" spans="4:4" x14ac:dyDescent="0.25">
      <c r="D92" s="103"/>
    </row>
    <row r="93" spans="4:4" x14ac:dyDescent="0.25">
      <c r="D93" s="103"/>
    </row>
    <row r="99" spans="2:6" ht="31.5" x14ac:dyDescent="0.25">
      <c r="E99" s="184"/>
      <c r="F99" s="184"/>
    </row>
    <row r="102" spans="2:6" x14ac:dyDescent="0.25">
      <c r="B102" s="101" t="e">
        <f>VLOOKUP($B$6,GPON!$A:$BS,59,0)</f>
        <v>#N/A</v>
      </c>
      <c r="E102" s="102" t="e">
        <f>HYPERLINK(B102,"Abrir Imagen")</f>
        <v>#N/A</v>
      </c>
    </row>
    <row r="106" spans="2:6" x14ac:dyDescent="0.25">
      <c r="D106" s="103"/>
    </row>
    <row r="107" spans="2:6" x14ac:dyDescent="0.25">
      <c r="D107" s="103"/>
    </row>
    <row r="108" spans="2:6" x14ac:dyDescent="0.25">
      <c r="D108" s="103"/>
    </row>
    <row r="109" spans="2:6" x14ac:dyDescent="0.25">
      <c r="D109" s="103"/>
    </row>
    <row r="110" spans="2:6" x14ac:dyDescent="0.25">
      <c r="D110" s="103"/>
    </row>
    <row r="111" spans="2:6" x14ac:dyDescent="0.25">
      <c r="D111" s="103"/>
    </row>
    <row r="112" spans="2:6" x14ac:dyDescent="0.25">
      <c r="D112" s="103"/>
    </row>
    <row r="113" spans="4:4" x14ac:dyDescent="0.25">
      <c r="D113" s="103"/>
    </row>
    <row r="114" spans="4:4" x14ac:dyDescent="0.25">
      <c r="D114" s="103"/>
    </row>
    <row r="115" spans="4:4" x14ac:dyDescent="0.25">
      <c r="D115" s="103"/>
    </row>
    <row r="116" spans="4:4" x14ac:dyDescent="0.25">
      <c r="D116" s="103"/>
    </row>
    <row r="117" spans="4:4" x14ac:dyDescent="0.25">
      <c r="D117" s="103"/>
    </row>
    <row r="118" spans="4:4" x14ac:dyDescent="0.25">
      <c r="D118" s="103"/>
    </row>
    <row r="119" spans="4:4" x14ac:dyDescent="0.25">
      <c r="D119" s="103"/>
    </row>
    <row r="120" spans="4:4" x14ac:dyDescent="0.25">
      <c r="D120" s="103"/>
    </row>
    <row r="121" spans="4:4" x14ac:dyDescent="0.25">
      <c r="D121" s="103"/>
    </row>
    <row r="122" spans="4:4" x14ac:dyDescent="0.25">
      <c r="D122" s="103"/>
    </row>
    <row r="123" spans="4:4" x14ac:dyDescent="0.25">
      <c r="D123" s="103"/>
    </row>
    <row r="124" spans="4:4" x14ac:dyDescent="0.25">
      <c r="D124" s="103"/>
    </row>
    <row r="125" spans="4:4" x14ac:dyDescent="0.25">
      <c r="D125" s="103"/>
    </row>
    <row r="126" spans="4:4" x14ac:dyDescent="0.25">
      <c r="D126" s="103"/>
    </row>
    <row r="127" spans="4:4" x14ac:dyDescent="0.25">
      <c r="D127" s="103"/>
    </row>
    <row r="128" spans="4:4" x14ac:dyDescent="0.25">
      <c r="D128" s="103"/>
    </row>
    <row r="129" spans="4:4" x14ac:dyDescent="0.25">
      <c r="D129" s="103"/>
    </row>
    <row r="130" spans="4:4" x14ac:dyDescent="0.25">
      <c r="D130" s="103"/>
    </row>
    <row r="131" spans="4:4" x14ac:dyDescent="0.25">
      <c r="D131" s="103"/>
    </row>
    <row r="132" spans="4:4" x14ac:dyDescent="0.25">
      <c r="D132" s="103"/>
    </row>
    <row r="133" spans="4:4" x14ac:dyDescent="0.25">
      <c r="D133" s="103"/>
    </row>
    <row r="134" spans="4:4" x14ac:dyDescent="0.25">
      <c r="D134" s="103"/>
    </row>
    <row r="135" spans="4:4" x14ac:dyDescent="0.25">
      <c r="D135" s="103"/>
    </row>
    <row r="136" spans="4:4" x14ac:dyDescent="0.25">
      <c r="D136" s="103"/>
    </row>
    <row r="137" spans="4:4" x14ac:dyDescent="0.25">
      <c r="D137" s="103"/>
    </row>
    <row r="138" spans="4:4" x14ac:dyDescent="0.25">
      <c r="D138" s="103"/>
    </row>
    <row r="139" spans="4:4" x14ac:dyDescent="0.25">
      <c r="D139" s="103"/>
    </row>
    <row r="140" spans="4:4" x14ac:dyDescent="0.25">
      <c r="D140" s="103"/>
    </row>
    <row r="149" spans="2:6" ht="31.5" x14ac:dyDescent="0.25">
      <c r="E149" s="184"/>
      <c r="F149" s="184"/>
    </row>
    <row r="151" spans="2:6" x14ac:dyDescent="0.25">
      <c r="B151" s="101" t="e">
        <f>VLOOKUP($B$6,GPON!$A:$BS,60,0)</f>
        <v>#N/A</v>
      </c>
      <c r="E151" s="102" t="e">
        <f>HYPERLINK(B151,"Abrir Imagen")</f>
        <v>#N/A</v>
      </c>
    </row>
    <row r="155" spans="2:6" x14ac:dyDescent="0.25">
      <c r="D155" s="103"/>
    </row>
    <row r="156" spans="2:6" x14ac:dyDescent="0.25">
      <c r="D156" s="103"/>
    </row>
    <row r="157" spans="2:6" x14ac:dyDescent="0.25">
      <c r="D157" s="103"/>
    </row>
    <row r="158" spans="2:6" x14ac:dyDescent="0.25">
      <c r="D158" s="103"/>
    </row>
    <row r="159" spans="2:6" x14ac:dyDescent="0.25">
      <c r="D159" s="103"/>
    </row>
    <row r="160" spans="2:6" x14ac:dyDescent="0.25">
      <c r="D160" s="103"/>
    </row>
    <row r="161" spans="4:4" x14ac:dyDescent="0.25">
      <c r="D161" s="103"/>
    </row>
    <row r="162" spans="4:4" x14ac:dyDescent="0.25">
      <c r="D162" s="103"/>
    </row>
    <row r="163" spans="4:4" x14ac:dyDescent="0.25">
      <c r="D163" s="103"/>
    </row>
    <row r="164" spans="4:4" x14ac:dyDescent="0.25">
      <c r="D164" s="103"/>
    </row>
    <row r="165" spans="4:4" x14ac:dyDescent="0.25">
      <c r="D165" s="103"/>
    </row>
    <row r="166" spans="4:4" x14ac:dyDescent="0.25">
      <c r="D166" s="103"/>
    </row>
    <row r="167" spans="4:4" x14ac:dyDescent="0.25">
      <c r="D167" s="103"/>
    </row>
    <row r="168" spans="4:4" x14ac:dyDescent="0.25">
      <c r="D168" s="103"/>
    </row>
    <row r="169" spans="4:4" x14ac:dyDescent="0.25">
      <c r="D169" s="103"/>
    </row>
    <row r="170" spans="4:4" x14ac:dyDescent="0.25">
      <c r="D170" s="103"/>
    </row>
    <row r="171" spans="4:4" x14ac:dyDescent="0.25">
      <c r="D171" s="103"/>
    </row>
    <row r="172" spans="4:4" x14ac:dyDescent="0.25">
      <c r="D172" s="103"/>
    </row>
    <row r="173" spans="4:4" x14ac:dyDescent="0.25">
      <c r="D173" s="103"/>
    </row>
    <row r="174" spans="4:4" x14ac:dyDescent="0.25">
      <c r="D174" s="103"/>
    </row>
    <row r="175" spans="4:4" x14ac:dyDescent="0.25">
      <c r="D175" s="103"/>
    </row>
    <row r="176" spans="4:4" x14ac:dyDescent="0.25">
      <c r="D176" s="103"/>
    </row>
    <row r="177" spans="4:4" x14ac:dyDescent="0.25">
      <c r="D177" s="103"/>
    </row>
    <row r="178" spans="4:4" x14ac:dyDescent="0.25">
      <c r="D178" s="103"/>
    </row>
    <row r="179" spans="4:4" x14ac:dyDescent="0.25">
      <c r="D179" s="103"/>
    </row>
    <row r="180" spans="4:4" x14ac:dyDescent="0.25">
      <c r="D180" s="103"/>
    </row>
    <row r="181" spans="4:4" x14ac:dyDescent="0.25">
      <c r="D181" s="103"/>
    </row>
    <row r="182" spans="4:4" x14ac:dyDescent="0.25">
      <c r="D182" s="103"/>
    </row>
    <row r="183" spans="4:4" x14ac:dyDescent="0.25">
      <c r="D183" s="103"/>
    </row>
    <row r="184" spans="4:4" x14ac:dyDescent="0.25">
      <c r="D184" s="103"/>
    </row>
    <row r="185" spans="4:4" x14ac:dyDescent="0.25">
      <c r="D185" s="103"/>
    </row>
    <row r="186" spans="4:4" x14ac:dyDescent="0.25">
      <c r="D186" s="103"/>
    </row>
    <row r="187" spans="4:4" x14ac:dyDescent="0.25">
      <c r="D187" s="103"/>
    </row>
    <row r="188" spans="4:4" x14ac:dyDescent="0.25">
      <c r="D188" s="103"/>
    </row>
    <row r="189" spans="4:4" x14ac:dyDescent="0.25">
      <c r="D189" s="103"/>
    </row>
    <row r="190" spans="4:4" x14ac:dyDescent="0.25">
      <c r="D190" s="103"/>
    </row>
    <row r="191" spans="4:4" x14ac:dyDescent="0.25">
      <c r="D191" s="103"/>
    </row>
    <row r="192" spans="4:4" x14ac:dyDescent="0.25">
      <c r="D192" s="103"/>
    </row>
  </sheetData>
  <mergeCells count="21">
    <mergeCell ref="F15:F23"/>
    <mergeCell ref="E1:F1"/>
    <mergeCell ref="E3:F3"/>
    <mergeCell ref="A9:B9"/>
    <mergeCell ref="E9:F9"/>
    <mergeCell ref="A10:B10"/>
    <mergeCell ref="E10:F10"/>
    <mergeCell ref="A15:A23"/>
    <mergeCell ref="B15:B23"/>
    <mergeCell ref="B24:E24"/>
    <mergeCell ref="A25:A29"/>
    <mergeCell ref="B25:B29"/>
    <mergeCell ref="C15:C23"/>
    <mergeCell ref="D15:D23"/>
    <mergeCell ref="E15:E23"/>
    <mergeCell ref="E149:F149"/>
    <mergeCell ref="A32:A38"/>
    <mergeCell ref="B32:B38"/>
    <mergeCell ref="B40:D42"/>
    <mergeCell ref="E52:F52"/>
    <mergeCell ref="E99:F99"/>
  </mergeCells>
  <conditionalFormatting sqref="E15 E25:E29 E32:E38">
    <cfRule type="containsText" dxfId="17" priority="6" operator="containsText" text="NO">
      <formula>NOT(ISERROR(SEARCH("NO",E15)))</formula>
    </cfRule>
  </conditionalFormatting>
  <conditionalFormatting sqref="B6">
    <cfRule type="duplicateValues" dxfId="16" priority="3"/>
    <cfRule type="duplicateValues" dxfId="15" priority="4"/>
    <cfRule type="duplicateValues" dxfId="14" priority="5"/>
  </conditionalFormatting>
  <conditionalFormatting sqref="B6">
    <cfRule type="duplicateValues" dxfId="13" priority="1"/>
    <cfRule type="duplicateValues" dxfId="12" priority="2"/>
  </conditionalFormatting>
  <printOptions gridLines="1"/>
  <pageMargins left="0.70866141732283472" right="0.70866141732283472" top="0.74803149606299213" bottom="0.74803149606299213" header="0.31496062992125984" footer="0.31496062992125984"/>
  <pageSetup scale="52" orientation="portrait" r:id="rId1"/>
  <headerFooter>
    <oddFooter>&amp;RF.OLIVA</oddFooter>
  </headerFooter>
  <rowBreaks count="3" manualBreakCount="3">
    <brk id="49" max="6" man="1"/>
    <brk id="96" max="6" man="1"/>
    <brk id="146" max="6" man="1"/>
  </rowBreaks>
  <drawing r:id="rId2"/>
  <legacyDrawing r:id="rId3"/>
  <controls>
    <mc:AlternateContent xmlns:mc="http://schemas.openxmlformats.org/markup-compatibility/2006">
      <mc:Choice Requires="x14">
        <control shapeId="20483" r:id="rId4" name="CB1">
          <controlPr defaultSize="0" autoLine="0" r:id="rId5">
            <anchor moveWithCells="1">
              <from>
                <xdr:col>4</xdr:col>
                <xdr:colOff>457200</xdr:colOff>
                <xdr:row>4</xdr:row>
                <xdr:rowOff>9525</xdr:rowOff>
              </from>
              <to>
                <xdr:col>5</xdr:col>
                <xdr:colOff>1209675</xdr:colOff>
                <xdr:row>7</xdr:row>
                <xdr:rowOff>0</xdr:rowOff>
              </to>
            </anchor>
          </controlPr>
        </control>
      </mc:Choice>
      <mc:Fallback>
        <control shapeId="20483" r:id="rId4" name="CB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>
    <tabColor rgb="FFFFC000"/>
  </sheetPr>
  <dimension ref="A1:G244"/>
  <sheetViews>
    <sheetView showGridLines="0" view="pageBreakPreview" zoomScale="85" zoomScaleNormal="85" zoomScaleSheetLayoutView="85" workbookViewId="0">
      <selection activeCell="B6" sqref="B6"/>
    </sheetView>
  </sheetViews>
  <sheetFormatPr baseColWidth="10" defaultColWidth="11.42578125" defaultRowHeight="15" x14ac:dyDescent="0.25"/>
  <cols>
    <col min="1" max="1" width="34.7109375" customWidth="1"/>
    <col min="2" max="2" width="23.28515625" customWidth="1"/>
    <col min="3" max="3" width="20.7109375" customWidth="1"/>
    <col min="4" max="4" width="12.5703125" customWidth="1"/>
    <col min="6" max="7" width="8.85546875" customWidth="1"/>
  </cols>
  <sheetData>
    <row r="1" spans="1:7" ht="33.75" customHeight="1" x14ac:dyDescent="0.5">
      <c r="F1" s="224"/>
      <c r="G1" s="224"/>
    </row>
    <row r="2" spans="1:7" ht="17.25" x14ac:dyDescent="0.25">
      <c r="A2" s="177" t="s">
        <v>133</v>
      </c>
    </row>
    <row r="3" spans="1:7" x14ac:dyDescent="0.25">
      <c r="A3" s="55" t="s">
        <v>12</v>
      </c>
      <c r="B3" s="107" t="e">
        <f>VLOOKUP($B$6,GPON!$A:$BS,5,0)</f>
        <v>#N/A</v>
      </c>
      <c r="C3" s="38" t="s">
        <v>63</v>
      </c>
      <c r="D3" s="39" t="e">
        <f>VLOOKUP($B$6,GPON!A:BS,2,0)</f>
        <v>#N/A</v>
      </c>
    </row>
    <row r="4" spans="1:7" x14ac:dyDescent="0.25">
      <c r="A4" s="55" t="s">
        <v>26</v>
      </c>
      <c r="B4" s="107" t="s">
        <v>61</v>
      </c>
      <c r="C4" s="40"/>
      <c r="D4" s="41"/>
    </row>
    <row r="5" spans="1:7" x14ac:dyDescent="0.25">
      <c r="A5" s="3" t="s">
        <v>13</v>
      </c>
      <c r="B5" s="108" t="e">
        <f>VLOOKUP($B$6,GPON!$A:$BS,6,0)</f>
        <v>#N/A</v>
      </c>
      <c r="C5" s="40"/>
    </row>
    <row r="6" spans="1:7" x14ac:dyDescent="0.25">
      <c r="A6" s="3" t="s">
        <v>3</v>
      </c>
      <c r="B6" s="110"/>
      <c r="C6" s="40"/>
    </row>
    <row r="7" spans="1:7" x14ac:dyDescent="0.25">
      <c r="A7" s="55" t="s">
        <v>28</v>
      </c>
      <c r="B7" s="66" t="e">
        <f>VLOOKUP($B$6,GPON!$A:$BS,7,0)</f>
        <v>#N/A</v>
      </c>
      <c r="C7" s="15"/>
    </row>
    <row r="8" spans="1:7" x14ac:dyDescent="0.25">
      <c r="A8" s="55" t="s">
        <v>27</v>
      </c>
      <c r="B8" s="107"/>
      <c r="C8" s="40"/>
    </row>
    <row r="9" spans="1:7" x14ac:dyDescent="0.25">
      <c r="A9" s="42" t="s">
        <v>64</v>
      </c>
      <c r="B9" s="107" t="s">
        <v>60</v>
      </c>
      <c r="C9" s="40"/>
      <c r="D9" s="40"/>
    </row>
    <row r="10" spans="1:7" x14ac:dyDescent="0.25">
      <c r="C10" s="40"/>
      <c r="D10" s="40"/>
    </row>
    <row r="11" spans="1:7" x14ac:dyDescent="0.25">
      <c r="A11" s="38"/>
      <c r="B11" s="5"/>
    </row>
    <row r="12" spans="1:7" x14ac:dyDescent="0.25">
      <c r="A12" s="38" t="s">
        <v>29</v>
      </c>
      <c r="B12" s="109" t="e">
        <f>VLOOKUP($B$6,GPON!$A:$BS,8,0)</f>
        <v>#N/A</v>
      </c>
      <c r="C12" s="43" t="s">
        <v>30</v>
      </c>
      <c r="D12" s="44"/>
    </row>
    <row r="13" spans="1:7" x14ac:dyDescent="0.25">
      <c r="A13" s="45" t="s">
        <v>31</v>
      </c>
      <c r="B13" s="98" t="e">
        <f>VLOOKUP($B$6,GPON!$A:$BS,9,0)</f>
        <v>#N/A</v>
      </c>
      <c r="C13" s="43" t="s">
        <v>30</v>
      </c>
      <c r="D13" s="44"/>
    </row>
    <row r="14" spans="1:7" ht="15.75" thickBot="1" x14ac:dyDescent="0.3"/>
    <row r="15" spans="1:7" ht="20.25" thickBot="1" x14ac:dyDescent="0.35">
      <c r="A15" s="225" t="s">
        <v>60</v>
      </c>
      <c r="B15" s="226"/>
      <c r="C15" s="226"/>
    </row>
    <row r="16" spans="1:7" ht="15.75" thickBot="1" x14ac:dyDescent="0.3">
      <c r="A16" s="46" t="s">
        <v>65</v>
      </c>
      <c r="B16" s="47" t="s">
        <v>33</v>
      </c>
      <c r="C16" s="49" t="s">
        <v>66</v>
      </c>
    </row>
    <row r="17" spans="1:5" ht="15.75" thickBot="1" x14ac:dyDescent="0.3">
      <c r="A17" s="183" t="s">
        <v>103</v>
      </c>
      <c r="B17" s="179">
        <v>10</v>
      </c>
      <c r="C17" s="62" t="e">
        <f>VLOOKUP($B$6,GPON!$A:$BS,24,0)</f>
        <v>#N/A</v>
      </c>
      <c r="D17" s="13" t="e">
        <f>IF(C17="si",10,IF(C17="no",0,IF(C17="n/a",10)))</f>
        <v>#N/A</v>
      </c>
      <c r="E17" s="48"/>
    </row>
    <row r="18" spans="1:5" ht="15.75" thickBot="1" x14ac:dyDescent="0.3">
      <c r="A18" s="183" t="s">
        <v>104</v>
      </c>
      <c r="B18" s="180">
        <v>10</v>
      </c>
      <c r="C18" s="63" t="e">
        <f>VLOOKUP($B$6,GPON!$A:$BS,25,0)</f>
        <v>#N/A</v>
      </c>
      <c r="D18" s="13" t="e">
        <f>IF(C18="si",10,IF(C18="no",0,IF(C18="n/a",10)))</f>
        <v>#N/A</v>
      </c>
    </row>
    <row r="19" spans="1:5" ht="15.75" thickBot="1" x14ac:dyDescent="0.3">
      <c r="A19" s="183" t="s">
        <v>105</v>
      </c>
      <c r="B19" s="180">
        <v>10</v>
      </c>
      <c r="C19" s="63" t="e">
        <f>VLOOKUP($B$6,GPON!$A:$BS,26,0)</f>
        <v>#N/A</v>
      </c>
      <c r="D19" s="13" t="e">
        <f>IF(C19="si",30,IF(C19="no",0,IF(C19="n/a",30)))</f>
        <v>#N/A</v>
      </c>
    </row>
    <row r="20" spans="1:5" ht="15.75" thickBot="1" x14ac:dyDescent="0.3">
      <c r="A20" s="183" t="s">
        <v>106</v>
      </c>
      <c r="B20" s="180">
        <v>10</v>
      </c>
      <c r="C20" s="63" t="e">
        <f>VLOOKUP($B$6,GPON!$A:$BS,27,0)</f>
        <v>#N/A</v>
      </c>
      <c r="D20" s="13" t="e">
        <f>IF(C20="si",3,IF(C20="no",0,IF(C20="n/a",3)))</f>
        <v>#N/A</v>
      </c>
    </row>
    <row r="21" spans="1:5" ht="15.75" thickBot="1" x14ac:dyDescent="0.3">
      <c r="A21" s="183" t="s">
        <v>107</v>
      </c>
      <c r="B21" s="180">
        <v>10</v>
      </c>
      <c r="C21" s="63" t="e">
        <f>VLOOKUP($B$6,GPON!$A:$BS,28,0)</f>
        <v>#N/A</v>
      </c>
      <c r="D21" s="13" t="e">
        <f>IF(C21="si",10,IF(C21="no",0,IF(C21="n/a",10)))</f>
        <v>#N/A</v>
      </c>
    </row>
    <row r="22" spans="1:5" ht="15.75" thickBot="1" x14ac:dyDescent="0.3">
      <c r="A22" s="183" t="s">
        <v>108</v>
      </c>
      <c r="B22" s="180">
        <v>8</v>
      </c>
      <c r="C22" s="63" t="e">
        <f>VLOOKUP($B$6,GPON!$A:$BS,29,0)</f>
        <v>#N/A</v>
      </c>
      <c r="D22" s="13" t="e">
        <f>IF(C22="si",5,IF(C22="no",0,IF(C22="n/a",5)))</f>
        <v>#N/A</v>
      </c>
    </row>
    <row r="23" spans="1:5" ht="15.75" thickBot="1" x14ac:dyDescent="0.3">
      <c r="A23" s="183" t="s">
        <v>109</v>
      </c>
      <c r="B23" s="180">
        <v>7</v>
      </c>
      <c r="C23" s="63" t="e">
        <f>VLOOKUP($B$6,GPON!$A:$BS,30,0)</f>
        <v>#N/A</v>
      </c>
      <c r="D23" s="13" t="e">
        <f>IF(C23="si",5,IF(C23="no",0,IF(C23="n/a",5)))</f>
        <v>#N/A</v>
      </c>
    </row>
    <row r="24" spans="1:5" ht="15.75" thickBot="1" x14ac:dyDescent="0.3">
      <c r="A24" s="183" t="s">
        <v>110</v>
      </c>
      <c r="B24" s="180">
        <v>7</v>
      </c>
      <c r="C24" s="63" t="e">
        <f>VLOOKUP($B$6,GPON!$A:$BS,31,0)</f>
        <v>#N/A</v>
      </c>
      <c r="D24" s="13" t="e">
        <f>IF(C24="si",2,IF(C24="no",0,IF(C24="n/a",2)))</f>
        <v>#N/A</v>
      </c>
    </row>
    <row r="25" spans="1:5" ht="15.75" thickBot="1" x14ac:dyDescent="0.3">
      <c r="A25" s="183" t="s">
        <v>111</v>
      </c>
      <c r="B25" s="180">
        <v>7</v>
      </c>
      <c r="C25" s="63" t="e">
        <f>VLOOKUP($B$6,GPON!$A:$BS,32,0)</f>
        <v>#N/A</v>
      </c>
      <c r="D25" s="13" t="e">
        <f>IF(C25="si",5,IF(C25="no",0,IF(C25="n/a",5)))</f>
        <v>#N/A</v>
      </c>
    </row>
    <row r="26" spans="1:5" ht="15.75" thickBot="1" x14ac:dyDescent="0.3">
      <c r="A26" s="183" t="s">
        <v>112</v>
      </c>
      <c r="B26" s="180">
        <v>3</v>
      </c>
      <c r="C26" s="63" t="e">
        <f>VLOOKUP($B$6,GPON!$A:$BS,33,0)</f>
        <v>#N/A</v>
      </c>
      <c r="D26" s="13" t="e">
        <f>IF(C26="si",5,IF(C26="no",0,IF(C26="n/a",5)))</f>
        <v>#N/A</v>
      </c>
    </row>
    <row r="27" spans="1:5" ht="26.25" thickBot="1" x14ac:dyDescent="0.3">
      <c r="A27" s="183" t="s">
        <v>113</v>
      </c>
      <c r="B27" s="180">
        <v>3</v>
      </c>
      <c r="C27" s="63" t="e">
        <f>VLOOKUP($B$6,GPON!$A:$BS,34,0)</f>
        <v>#N/A</v>
      </c>
      <c r="D27" s="13" t="e">
        <f>IF(C27="si",2,IF(C27="no",0,IF(C27="n/a",2)))</f>
        <v>#N/A</v>
      </c>
    </row>
    <row r="28" spans="1:5" ht="39" thickBot="1" x14ac:dyDescent="0.3">
      <c r="A28" s="183" t="s">
        <v>114</v>
      </c>
      <c r="B28" s="180">
        <v>3</v>
      </c>
      <c r="C28" s="63" t="e">
        <f>VLOOKUP($B$6,GPON!$A:$BS,35,0)</f>
        <v>#N/A</v>
      </c>
      <c r="D28" s="13" t="e">
        <f>IF(C28="si",5,IF(C28="no",0,IF(C28="n/a",5)))</f>
        <v>#N/A</v>
      </c>
    </row>
    <row r="29" spans="1:5" ht="15.75" thickBot="1" x14ac:dyDescent="0.3">
      <c r="A29" s="183" t="s">
        <v>115</v>
      </c>
      <c r="B29" s="180">
        <v>3</v>
      </c>
      <c r="C29" s="63" t="e">
        <f>VLOOKUP($B$6,GPON!$A:$BS,36,0)</f>
        <v>#N/A</v>
      </c>
      <c r="D29" s="13" t="e">
        <f>IF(C29="si",2,IF(C29="no",0,IF(C29="n/a",2)))</f>
        <v>#N/A</v>
      </c>
    </row>
    <row r="30" spans="1:5" ht="15.75" thickBot="1" x14ac:dyDescent="0.3">
      <c r="A30" s="183" t="s">
        <v>116</v>
      </c>
      <c r="B30" s="180">
        <v>3</v>
      </c>
      <c r="C30" s="63" t="e">
        <f>VLOOKUP($B$6,GPON!$A:$BS,37,0)</f>
        <v>#N/A</v>
      </c>
      <c r="D30" s="13" t="e">
        <f>IF(C30="si",2,IF(C30="no",0,IF(C30="n/a",2)))</f>
        <v>#N/A</v>
      </c>
    </row>
    <row r="31" spans="1:5" ht="15.75" thickBot="1" x14ac:dyDescent="0.3">
      <c r="A31" s="183" t="s">
        <v>117</v>
      </c>
      <c r="B31" s="180">
        <v>3</v>
      </c>
      <c r="C31" s="63" t="e">
        <f>VLOOKUP($B$6,GPON!$A:$BS,38,0)</f>
        <v>#N/A</v>
      </c>
      <c r="D31" s="13" t="e">
        <f>IF(C31="si",2,IF(C31="no",0,IF(C31="n/a",2)))</f>
        <v>#N/A</v>
      </c>
    </row>
    <row r="32" spans="1:5" ht="26.25" thickBot="1" x14ac:dyDescent="0.3">
      <c r="A32" s="183" t="s">
        <v>118</v>
      </c>
      <c r="B32" s="181">
        <v>3</v>
      </c>
      <c r="C32" s="64" t="e">
        <f>VLOOKUP($B$6,GPON!$A:$BS,39,0)</f>
        <v>#N/A</v>
      </c>
      <c r="D32" s="13" t="e">
        <f>IF(C32="si",2,IF(C32="no",0,IF(C32="n/a",2)))</f>
        <v>#N/A</v>
      </c>
    </row>
    <row r="33" spans="1:7" ht="16.5" thickBot="1" x14ac:dyDescent="0.3">
      <c r="A33" s="178" t="s">
        <v>43</v>
      </c>
      <c r="B33" s="156">
        <f>SUM(B17:B32)</f>
        <v>100</v>
      </c>
      <c r="D33" s="53" t="e">
        <f>SUM(D17:D32)</f>
        <v>#N/A</v>
      </c>
    </row>
    <row r="35" spans="1:7" x14ac:dyDescent="0.25">
      <c r="A35" s="50"/>
      <c r="B35" s="54"/>
    </row>
    <row r="37" spans="1:7" x14ac:dyDescent="0.25">
      <c r="A37" s="87" t="s">
        <v>38</v>
      </c>
      <c r="B37" s="88" t="s">
        <v>70</v>
      </c>
      <c r="D37" s="12"/>
      <c r="E37" s="89" t="s">
        <v>71</v>
      </c>
      <c r="F37" s="88" t="s">
        <v>72</v>
      </c>
      <c r="G37" s="12"/>
    </row>
    <row r="38" spans="1:7" x14ac:dyDescent="0.25">
      <c r="A38" s="90"/>
      <c r="B38" s="91"/>
      <c r="C38" s="92"/>
      <c r="D38" s="92"/>
      <c r="E38" s="12"/>
    </row>
    <row r="39" spans="1:7" x14ac:dyDescent="0.25">
      <c r="A39" s="93" t="s">
        <v>73</v>
      </c>
      <c r="B39" s="93" t="s">
        <v>74</v>
      </c>
      <c r="C39" s="12"/>
      <c r="D39" s="92" t="s">
        <v>75</v>
      </c>
      <c r="E39" s="12"/>
      <c r="F39" s="93" t="s">
        <v>76</v>
      </c>
      <c r="G39" s="12"/>
    </row>
    <row r="40" spans="1:7" x14ac:dyDescent="0.25">
      <c r="A40" s="86"/>
      <c r="B40" s="227"/>
      <c r="C40" s="227"/>
      <c r="D40" s="86"/>
      <c r="E40" s="86"/>
      <c r="F40" s="86"/>
    </row>
    <row r="43" spans="1:7" s="12" customFormat="1" ht="12.75" x14ac:dyDescent="0.2"/>
    <row r="44" spans="1:7" s="12" customFormat="1" ht="31.5" x14ac:dyDescent="0.2">
      <c r="F44" s="223"/>
      <c r="G44" s="223"/>
    </row>
    <row r="45" spans="1:7" s="12" customFormat="1" ht="12.75" x14ac:dyDescent="0.2"/>
    <row r="46" spans="1:7" s="12" customFormat="1" ht="12.75" x14ac:dyDescent="0.2"/>
    <row r="47" spans="1:7" s="12" customFormat="1" ht="12.75" x14ac:dyDescent="0.2"/>
    <row r="48" spans="1:7" s="12" customFormat="1" x14ac:dyDescent="0.2">
      <c r="B48" s="3" t="e">
        <f>VLOOKUP($B$6,GPON!$A:$BS,58,0)</f>
        <v>#N/A</v>
      </c>
      <c r="F48" s="95" t="e">
        <f>HYPERLINK(B48,"Abrir Imagen")</f>
        <v>#N/A</v>
      </c>
    </row>
    <row r="49" s="12" customFormat="1" ht="12.75" x14ac:dyDescent="0.2"/>
    <row r="50" s="12" customFormat="1" ht="12.75" x14ac:dyDescent="0.2"/>
    <row r="51" s="12" customFormat="1" ht="12.75" x14ac:dyDescent="0.2"/>
    <row r="52" s="12" customFormat="1" ht="12.75" x14ac:dyDescent="0.2"/>
    <row r="53" s="12" customFormat="1" ht="12.75" x14ac:dyDescent="0.2"/>
    <row r="54" s="12" customFormat="1" ht="12.75" x14ac:dyDescent="0.2"/>
    <row r="55" s="12" customFormat="1" ht="12.75" x14ac:dyDescent="0.2"/>
    <row r="56" s="12" customFormat="1" ht="12.75" x14ac:dyDescent="0.2"/>
    <row r="57" s="12" customFormat="1" ht="12.75" x14ac:dyDescent="0.2"/>
    <row r="58" s="12" customFormat="1" ht="12.75" x14ac:dyDescent="0.2"/>
    <row r="59" s="12" customFormat="1" ht="12.75" x14ac:dyDescent="0.2"/>
    <row r="60" s="12" customFormat="1" ht="12.75" x14ac:dyDescent="0.2"/>
    <row r="61" s="12" customFormat="1" ht="12.75" x14ac:dyDescent="0.2"/>
    <row r="62" s="12" customFormat="1" ht="12.75" x14ac:dyDescent="0.2"/>
    <row r="63" s="12" customFormat="1" ht="12.75" x14ac:dyDescent="0.2"/>
    <row r="64" s="12" customFormat="1" ht="12.75" x14ac:dyDescent="0.2"/>
    <row r="65" s="12" customFormat="1" ht="12.75" x14ac:dyDescent="0.2"/>
    <row r="66" s="12" customFormat="1" ht="12.75" x14ac:dyDescent="0.2"/>
    <row r="67" s="12" customFormat="1" ht="12.75" x14ac:dyDescent="0.2"/>
    <row r="68" s="12" customFormat="1" ht="12.75" x14ac:dyDescent="0.2"/>
    <row r="69" s="12" customFormat="1" ht="12.75" x14ac:dyDescent="0.2"/>
    <row r="70" s="12" customFormat="1" ht="12.75" x14ac:dyDescent="0.2"/>
    <row r="71" s="12" customFormat="1" ht="12.75" x14ac:dyDescent="0.2"/>
    <row r="72" s="12" customFormat="1" ht="12.75" x14ac:dyDescent="0.2"/>
    <row r="73" s="12" customFormat="1" ht="12.75" x14ac:dyDescent="0.2"/>
    <row r="74" s="12" customFormat="1" ht="12.75" x14ac:dyDescent="0.2"/>
    <row r="75" s="12" customFormat="1" ht="12.75" x14ac:dyDescent="0.2"/>
    <row r="76" s="12" customFormat="1" ht="12.75" x14ac:dyDescent="0.2"/>
    <row r="77" s="12" customFormat="1" ht="12.75" x14ac:dyDescent="0.2"/>
    <row r="78" s="12" customFormat="1" ht="12.75" x14ac:dyDescent="0.2"/>
    <row r="79" s="12" customFormat="1" ht="12.75" x14ac:dyDescent="0.2"/>
    <row r="80" s="12" customFormat="1" ht="12.75" x14ac:dyDescent="0.2"/>
    <row r="81" s="12" customFormat="1" ht="12.75" x14ac:dyDescent="0.2"/>
    <row r="82" s="12" customFormat="1" ht="12.75" x14ac:dyDescent="0.2"/>
    <row r="83" s="12" customFormat="1" ht="12.75" x14ac:dyDescent="0.2"/>
    <row r="84" s="12" customFormat="1" ht="12.75" x14ac:dyDescent="0.2"/>
    <row r="85" s="12" customFormat="1" ht="12.75" x14ac:dyDescent="0.2"/>
    <row r="86" s="12" customFormat="1" ht="12.75" x14ac:dyDescent="0.2"/>
    <row r="87" s="12" customFormat="1" ht="12.75" x14ac:dyDescent="0.2"/>
    <row r="88" s="12" customFormat="1" ht="12.75" x14ac:dyDescent="0.2"/>
    <row r="89" s="12" customFormat="1" ht="12.75" x14ac:dyDescent="0.2"/>
    <row r="90" s="12" customFormat="1" ht="12.75" x14ac:dyDescent="0.2"/>
    <row r="91" s="12" customFormat="1" ht="12.75" x14ac:dyDescent="0.2"/>
    <row r="92" s="12" customFormat="1" ht="12.75" x14ac:dyDescent="0.2"/>
    <row r="93" s="12" customFormat="1" ht="12.75" x14ac:dyDescent="0.2"/>
    <row r="94" s="12" customFormat="1" ht="12.75" x14ac:dyDescent="0.2"/>
    <row r="95" s="12" customFormat="1" ht="12.75" x14ac:dyDescent="0.2"/>
    <row r="96" s="12" customFormat="1" ht="12.75" x14ac:dyDescent="0.2"/>
    <row r="97" spans="2:7" s="12" customFormat="1" ht="12.75" x14ac:dyDescent="0.2"/>
    <row r="98" spans="2:7" s="12" customFormat="1" ht="31.5" x14ac:dyDescent="0.5">
      <c r="F98" s="221"/>
      <c r="G98" s="221"/>
    </row>
    <row r="99" spans="2:7" s="12" customFormat="1" ht="12.75" x14ac:dyDescent="0.2"/>
    <row r="100" spans="2:7" s="12" customFormat="1" ht="12.75" x14ac:dyDescent="0.2"/>
    <row r="101" spans="2:7" s="12" customFormat="1" ht="12.75" x14ac:dyDescent="0.2"/>
    <row r="102" spans="2:7" s="12" customFormat="1" ht="12.75" x14ac:dyDescent="0.2"/>
    <row r="103" spans="2:7" s="12" customFormat="1" ht="12.75" x14ac:dyDescent="0.2"/>
    <row r="104" spans="2:7" s="12" customFormat="1" x14ac:dyDescent="0.2">
      <c r="B104" s="12" t="e">
        <f>VLOOKUP($B$6,GPON!$A:$BS,59,0)</f>
        <v>#N/A</v>
      </c>
      <c r="F104" s="95" t="e">
        <f>HYPERLINK(B104,"Abrir Imagen")</f>
        <v>#N/A</v>
      </c>
    </row>
    <row r="105" spans="2:7" s="12" customFormat="1" ht="12.75" x14ac:dyDescent="0.2"/>
    <row r="106" spans="2:7" s="12" customFormat="1" ht="12.75" x14ac:dyDescent="0.2"/>
    <row r="107" spans="2:7" s="12" customFormat="1" ht="12.75" x14ac:dyDescent="0.2"/>
    <row r="108" spans="2:7" s="12" customFormat="1" ht="12.75" x14ac:dyDescent="0.2"/>
    <row r="109" spans="2:7" s="12" customFormat="1" ht="12.75" x14ac:dyDescent="0.2"/>
    <row r="110" spans="2:7" s="12" customFormat="1" ht="12.75" x14ac:dyDescent="0.2"/>
    <row r="111" spans="2:7" s="12" customFormat="1" ht="12.75" x14ac:dyDescent="0.2"/>
    <row r="112" spans="2:7" s="12" customFormat="1" ht="12.75" x14ac:dyDescent="0.2"/>
    <row r="113" s="12" customFormat="1" ht="12.75" x14ac:dyDescent="0.2"/>
    <row r="114" s="12" customFormat="1" ht="12.75" x14ac:dyDescent="0.2"/>
    <row r="115" s="12" customFormat="1" ht="12.75" x14ac:dyDescent="0.2"/>
    <row r="116" s="12" customFormat="1" ht="12.75" x14ac:dyDescent="0.2"/>
    <row r="117" s="12" customFormat="1" ht="12.75" x14ac:dyDescent="0.2"/>
    <row r="118" s="12" customFormat="1" ht="12.75" x14ac:dyDescent="0.2"/>
    <row r="119" s="12" customFormat="1" ht="12.75" x14ac:dyDescent="0.2"/>
    <row r="120" s="12" customFormat="1" ht="12.75" x14ac:dyDescent="0.2"/>
    <row r="121" s="12" customFormat="1" ht="12.75" x14ac:dyDescent="0.2"/>
    <row r="122" s="12" customFormat="1" ht="12.75" x14ac:dyDescent="0.2"/>
    <row r="123" s="12" customFormat="1" ht="12.75" x14ac:dyDescent="0.2"/>
    <row r="124" s="12" customFormat="1" ht="12.75" x14ac:dyDescent="0.2"/>
    <row r="125" s="12" customFormat="1" ht="12.75" x14ac:dyDescent="0.2"/>
    <row r="126" s="12" customFormat="1" ht="12.75" x14ac:dyDescent="0.2"/>
    <row r="127" s="12" customFormat="1" ht="12.75" x14ac:dyDescent="0.2"/>
    <row r="128" s="12" customFormat="1" ht="12.75" x14ac:dyDescent="0.2"/>
    <row r="129" s="12" customFormat="1" ht="12.75" x14ac:dyDescent="0.2"/>
    <row r="130" s="12" customFormat="1" ht="12.75" x14ac:dyDescent="0.2"/>
    <row r="131" s="12" customFormat="1" ht="12.75" x14ac:dyDescent="0.2"/>
    <row r="132" s="12" customFormat="1" ht="12.75" x14ac:dyDescent="0.2"/>
    <row r="133" s="12" customFormat="1" ht="12.75" x14ac:dyDescent="0.2"/>
    <row r="134" s="12" customFormat="1" ht="12.75" x14ac:dyDescent="0.2"/>
    <row r="135" s="12" customFormat="1" ht="12.75" x14ac:dyDescent="0.2"/>
    <row r="136" s="12" customFormat="1" ht="12.75" x14ac:dyDescent="0.2"/>
    <row r="137" s="12" customFormat="1" ht="12.75" x14ac:dyDescent="0.2"/>
    <row r="138" s="12" customFormat="1" ht="12.75" x14ac:dyDescent="0.2"/>
    <row r="139" s="12" customFormat="1" ht="12.75" x14ac:dyDescent="0.2"/>
    <row r="140" s="12" customFormat="1" ht="12.75" x14ac:dyDescent="0.2"/>
    <row r="141" s="12" customFormat="1" ht="12.75" x14ac:dyDescent="0.2"/>
    <row r="142" s="12" customFormat="1" ht="12.75" x14ac:dyDescent="0.2"/>
    <row r="143" s="12" customFormat="1" ht="12.75" x14ac:dyDescent="0.2"/>
    <row r="144" s="12" customFormat="1" ht="12.75" x14ac:dyDescent="0.2"/>
    <row r="145" spans="2:6" s="12" customFormat="1" ht="12.75" x14ac:dyDescent="0.2"/>
    <row r="146" spans="2:6" s="12" customFormat="1" ht="12.75" x14ac:dyDescent="0.2"/>
    <row r="147" spans="2:6" s="12" customFormat="1" ht="12.75" x14ac:dyDescent="0.2"/>
    <row r="148" spans="2:6" s="12" customFormat="1" ht="12.75" x14ac:dyDescent="0.2"/>
    <row r="149" spans="2:6" s="12" customFormat="1" ht="12.75" x14ac:dyDescent="0.2"/>
    <row r="150" spans="2:6" s="60" customFormat="1" x14ac:dyDescent="0.25">
      <c r="D150" s="82"/>
    </row>
    <row r="151" spans="2:6" s="60" customFormat="1" x14ac:dyDescent="0.25">
      <c r="D151" s="82"/>
    </row>
    <row r="152" spans="2:6" s="60" customFormat="1" ht="31.5" x14ac:dyDescent="0.25">
      <c r="D152" s="82"/>
      <c r="E152" s="222"/>
      <c r="F152" s="222"/>
    </row>
    <row r="153" spans="2:6" s="60" customFormat="1" x14ac:dyDescent="0.25">
      <c r="D153" s="82"/>
    </row>
    <row r="154" spans="2:6" s="60" customFormat="1" x14ac:dyDescent="0.25">
      <c r="D154" s="82"/>
    </row>
    <row r="155" spans="2:6" s="60" customFormat="1" x14ac:dyDescent="0.25">
      <c r="B155" s="94" t="e">
        <f>VLOOKUP($B$6,GPON!$A:$BS,60,0)</f>
        <v>#N/A</v>
      </c>
      <c r="D155" s="82"/>
      <c r="E155" s="95" t="e">
        <f>HYPERLINK(B155,"Abrir Imagen")</f>
        <v>#N/A</v>
      </c>
    </row>
    <row r="156" spans="2:6" s="60" customFormat="1" x14ac:dyDescent="0.25">
      <c r="D156" s="82"/>
    </row>
    <row r="157" spans="2:6" s="60" customFormat="1" x14ac:dyDescent="0.25">
      <c r="D157" s="82"/>
    </row>
    <row r="158" spans="2:6" s="60" customFormat="1" x14ac:dyDescent="0.25">
      <c r="D158" s="82"/>
    </row>
    <row r="159" spans="2:6" s="60" customFormat="1" x14ac:dyDescent="0.25">
      <c r="D159" s="83"/>
    </row>
    <row r="160" spans="2:6" s="60" customFormat="1" x14ac:dyDescent="0.25">
      <c r="D160" s="83"/>
    </row>
    <row r="161" spans="4:4" s="60" customFormat="1" x14ac:dyDescent="0.25">
      <c r="D161" s="83"/>
    </row>
    <row r="162" spans="4:4" s="60" customFormat="1" x14ac:dyDescent="0.25">
      <c r="D162" s="83"/>
    </row>
    <row r="163" spans="4:4" s="60" customFormat="1" x14ac:dyDescent="0.25">
      <c r="D163" s="83"/>
    </row>
    <row r="164" spans="4:4" s="60" customFormat="1" x14ac:dyDescent="0.25">
      <c r="D164" s="83"/>
    </row>
    <row r="165" spans="4:4" s="60" customFormat="1" x14ac:dyDescent="0.25">
      <c r="D165" s="83"/>
    </row>
    <row r="166" spans="4:4" s="60" customFormat="1" x14ac:dyDescent="0.25">
      <c r="D166" s="83"/>
    </row>
    <row r="167" spans="4:4" s="60" customFormat="1" x14ac:dyDescent="0.25">
      <c r="D167" s="83"/>
    </row>
    <row r="168" spans="4:4" s="60" customFormat="1" x14ac:dyDescent="0.25">
      <c r="D168" s="83"/>
    </row>
    <row r="169" spans="4:4" s="60" customFormat="1" x14ac:dyDescent="0.25">
      <c r="D169" s="83"/>
    </row>
    <row r="170" spans="4:4" s="60" customFormat="1" x14ac:dyDescent="0.25">
      <c r="D170" s="83"/>
    </row>
    <row r="171" spans="4:4" s="60" customFormat="1" x14ac:dyDescent="0.25">
      <c r="D171" s="83"/>
    </row>
    <row r="172" spans="4:4" s="60" customFormat="1" x14ac:dyDescent="0.25">
      <c r="D172" s="83"/>
    </row>
    <row r="173" spans="4:4" s="60" customFormat="1" x14ac:dyDescent="0.25">
      <c r="D173" s="83"/>
    </row>
    <row r="174" spans="4:4" s="60" customFormat="1" x14ac:dyDescent="0.25">
      <c r="D174" s="83"/>
    </row>
    <row r="175" spans="4:4" s="60" customFormat="1" x14ac:dyDescent="0.25">
      <c r="D175" s="83"/>
    </row>
    <row r="176" spans="4:4" s="60" customFormat="1" x14ac:dyDescent="0.25">
      <c r="D176" s="83"/>
    </row>
    <row r="177" spans="4:4" s="60" customFormat="1" x14ac:dyDescent="0.25">
      <c r="D177" s="83"/>
    </row>
    <row r="178" spans="4:4" s="60" customFormat="1" x14ac:dyDescent="0.25">
      <c r="D178" s="83"/>
    </row>
    <row r="179" spans="4:4" s="60" customFormat="1" x14ac:dyDescent="0.25">
      <c r="D179" s="83"/>
    </row>
    <row r="180" spans="4:4" s="60" customFormat="1" x14ac:dyDescent="0.25">
      <c r="D180" s="83"/>
    </row>
    <row r="181" spans="4:4" s="60" customFormat="1" x14ac:dyDescent="0.25">
      <c r="D181" s="83"/>
    </row>
    <row r="182" spans="4:4" s="60" customFormat="1" x14ac:dyDescent="0.25">
      <c r="D182" s="83"/>
    </row>
    <row r="183" spans="4:4" s="60" customFormat="1" x14ac:dyDescent="0.25">
      <c r="D183" s="83"/>
    </row>
    <row r="184" spans="4:4" s="60" customFormat="1" x14ac:dyDescent="0.25">
      <c r="D184" s="83"/>
    </row>
    <row r="185" spans="4:4" s="60" customFormat="1" x14ac:dyDescent="0.25">
      <c r="D185" s="83"/>
    </row>
    <row r="186" spans="4:4" s="60" customFormat="1" x14ac:dyDescent="0.25">
      <c r="D186" s="83"/>
    </row>
    <row r="187" spans="4:4" s="60" customFormat="1" x14ac:dyDescent="0.25">
      <c r="D187" s="83"/>
    </row>
    <row r="188" spans="4:4" s="60" customFormat="1" x14ac:dyDescent="0.25">
      <c r="D188" s="83"/>
    </row>
    <row r="189" spans="4:4" s="60" customFormat="1" x14ac:dyDescent="0.25">
      <c r="D189" s="83"/>
    </row>
    <row r="190" spans="4:4" s="60" customFormat="1" x14ac:dyDescent="0.25">
      <c r="D190" s="83"/>
    </row>
    <row r="191" spans="4:4" s="60" customFormat="1" x14ac:dyDescent="0.25">
      <c r="D191" s="83"/>
    </row>
    <row r="192" spans="4:4" s="60" customFormat="1" x14ac:dyDescent="0.25">
      <c r="D192" s="83"/>
    </row>
    <row r="193" spans="1:7" s="60" customFormat="1" x14ac:dyDescent="0.25">
      <c r="D193" s="83"/>
    </row>
    <row r="194" spans="1:7" s="60" customFormat="1" x14ac:dyDescent="0.25">
      <c r="D194" s="83"/>
    </row>
    <row r="195" spans="1:7" s="60" customFormat="1" x14ac:dyDescent="0.25">
      <c r="D195" s="83"/>
    </row>
    <row r="196" spans="1:7" s="60" customFormat="1" x14ac:dyDescent="0.25">
      <c r="D196" s="83"/>
    </row>
    <row r="197" spans="1:7" s="60" customFormat="1" x14ac:dyDescent="0.25">
      <c r="D197" s="83"/>
    </row>
    <row r="198" spans="1:7" s="60" customFormat="1" x14ac:dyDescent="0.25">
      <c r="D198" s="82"/>
    </row>
    <row r="199" spans="1:7" s="60" customFormat="1" x14ac:dyDescent="0.25">
      <c r="A199" s="99"/>
      <c r="B199" s="99"/>
      <c r="C199" s="99"/>
      <c r="D199" s="100"/>
      <c r="E199" s="99"/>
      <c r="F199" s="99"/>
      <c r="G199" s="99"/>
    </row>
    <row r="200" spans="1:7" s="60" customFormat="1" x14ac:dyDescent="0.25">
      <c r="A200" s="99"/>
      <c r="B200" s="99"/>
      <c r="C200" s="99"/>
      <c r="D200" s="100"/>
      <c r="E200" s="99"/>
      <c r="F200" s="99"/>
      <c r="G200" s="99"/>
    </row>
    <row r="201" spans="1:7" s="60" customFormat="1" ht="31.5" customHeight="1" x14ac:dyDescent="0.25">
      <c r="A201" s="99"/>
      <c r="B201" s="99"/>
      <c r="C201" s="99"/>
      <c r="D201" s="100"/>
      <c r="E201" s="104"/>
      <c r="F201" s="104"/>
    </row>
    <row r="202" spans="1:7" s="60" customFormat="1" x14ac:dyDescent="0.25">
      <c r="A202" s="99"/>
      <c r="B202" s="99"/>
      <c r="C202" s="99"/>
      <c r="D202" s="100"/>
      <c r="E202" s="99"/>
      <c r="F202" s="99"/>
    </row>
    <row r="203" spans="1:7" s="60" customFormat="1" x14ac:dyDescent="0.25">
      <c r="A203" s="99"/>
      <c r="B203" s="99"/>
      <c r="C203" s="99"/>
      <c r="D203" s="100"/>
      <c r="E203" s="99"/>
      <c r="F203" s="99"/>
    </row>
    <row r="204" spans="1:7" s="60" customFormat="1" x14ac:dyDescent="0.25">
      <c r="A204" s="99"/>
      <c r="B204" s="101" t="e">
        <f>VLOOKUP($B$6,GPON!$A:$BS,61,0)</f>
        <v>#N/A</v>
      </c>
      <c r="C204" s="99"/>
      <c r="D204" s="100"/>
      <c r="E204" s="102" t="e">
        <f>HYPERLINK(B204,"Abrir Imagen")</f>
        <v>#N/A</v>
      </c>
      <c r="F204" s="99"/>
      <c r="G204" s="99"/>
    </row>
    <row r="205" spans="1:7" s="60" customFormat="1" x14ac:dyDescent="0.25">
      <c r="A205" s="99"/>
      <c r="B205" s="99"/>
      <c r="C205" s="99"/>
      <c r="D205" s="100"/>
      <c r="E205" s="99"/>
      <c r="F205" s="99"/>
      <c r="G205" s="99"/>
    </row>
    <row r="206" spans="1:7" s="60" customFormat="1" x14ac:dyDescent="0.25">
      <c r="A206" s="99"/>
      <c r="B206" s="99"/>
      <c r="C206" s="99"/>
      <c r="D206" s="100"/>
      <c r="E206" s="99"/>
      <c r="F206" s="99"/>
      <c r="G206" s="99"/>
    </row>
    <row r="207" spans="1:7" s="60" customFormat="1" x14ac:dyDescent="0.25">
      <c r="A207" s="99"/>
      <c r="B207" s="99"/>
      <c r="C207" s="99"/>
      <c r="D207" s="100"/>
      <c r="E207" s="99"/>
      <c r="F207" s="99"/>
      <c r="G207" s="99"/>
    </row>
    <row r="208" spans="1:7" s="60" customFormat="1" x14ac:dyDescent="0.25">
      <c r="A208" s="99"/>
      <c r="B208" s="99"/>
      <c r="C208" s="99"/>
      <c r="D208" s="103"/>
      <c r="E208" s="99"/>
      <c r="F208" s="99"/>
      <c r="G208" s="99"/>
    </row>
    <row r="209" spans="1:7" s="60" customFormat="1" x14ac:dyDescent="0.25">
      <c r="A209" s="99"/>
      <c r="B209" s="99"/>
      <c r="C209" s="99"/>
      <c r="D209" s="103"/>
      <c r="E209" s="99"/>
      <c r="F209" s="99"/>
      <c r="G209" s="99"/>
    </row>
    <row r="210" spans="1:7" s="60" customFormat="1" x14ac:dyDescent="0.25">
      <c r="A210" s="99"/>
      <c r="B210" s="99"/>
      <c r="C210" s="99"/>
      <c r="D210" s="103"/>
      <c r="E210" s="99"/>
      <c r="F210" s="99"/>
      <c r="G210" s="99"/>
    </row>
    <row r="211" spans="1:7" s="60" customFormat="1" x14ac:dyDescent="0.25">
      <c r="A211" s="99"/>
      <c r="B211" s="99"/>
      <c r="C211" s="99"/>
      <c r="D211" s="103"/>
      <c r="E211" s="99"/>
      <c r="F211" s="99"/>
      <c r="G211" s="99"/>
    </row>
    <row r="212" spans="1:7" s="60" customFormat="1" x14ac:dyDescent="0.25">
      <c r="A212" s="99"/>
      <c r="B212" s="99"/>
      <c r="C212" s="99"/>
      <c r="D212" s="103"/>
      <c r="E212" s="99"/>
      <c r="F212" s="99"/>
      <c r="G212" s="99"/>
    </row>
    <row r="213" spans="1:7" s="60" customFormat="1" x14ac:dyDescent="0.25">
      <c r="A213" s="99"/>
      <c r="B213" s="99"/>
      <c r="C213" s="99"/>
      <c r="D213" s="103"/>
      <c r="E213" s="99"/>
      <c r="F213" s="99"/>
      <c r="G213" s="99"/>
    </row>
    <row r="214" spans="1:7" s="60" customFormat="1" x14ac:dyDescent="0.25">
      <c r="A214" s="99"/>
      <c r="B214" s="99"/>
      <c r="C214" s="99"/>
      <c r="D214" s="103"/>
      <c r="E214" s="99"/>
      <c r="F214" s="99"/>
      <c r="G214" s="99"/>
    </row>
    <row r="215" spans="1:7" s="60" customFormat="1" x14ac:dyDescent="0.25">
      <c r="A215" s="99"/>
      <c r="B215" s="99"/>
      <c r="C215" s="99"/>
      <c r="D215" s="103"/>
      <c r="E215" s="99"/>
      <c r="F215" s="99"/>
      <c r="G215" s="99"/>
    </row>
    <row r="216" spans="1:7" s="60" customFormat="1" x14ac:dyDescent="0.25">
      <c r="A216" s="99"/>
      <c r="B216" s="99"/>
      <c r="C216" s="99"/>
      <c r="D216" s="103"/>
      <c r="E216" s="99"/>
      <c r="F216" s="99"/>
      <c r="G216" s="99"/>
    </row>
    <row r="217" spans="1:7" s="60" customFormat="1" x14ac:dyDescent="0.25">
      <c r="A217" s="99"/>
      <c r="B217" s="99"/>
      <c r="C217" s="99"/>
      <c r="D217" s="103"/>
      <c r="E217" s="99"/>
      <c r="F217" s="99"/>
      <c r="G217" s="99"/>
    </row>
    <row r="218" spans="1:7" s="60" customFormat="1" x14ac:dyDescent="0.25">
      <c r="A218" s="99"/>
      <c r="B218" s="99"/>
      <c r="C218" s="99"/>
      <c r="D218" s="103"/>
      <c r="E218" s="99"/>
      <c r="F218" s="99"/>
      <c r="G218" s="99"/>
    </row>
    <row r="219" spans="1:7" s="60" customFormat="1" x14ac:dyDescent="0.25">
      <c r="A219" s="99"/>
      <c r="B219" s="99"/>
      <c r="C219" s="99"/>
      <c r="D219" s="103"/>
      <c r="E219" s="99"/>
      <c r="F219" s="99"/>
      <c r="G219" s="99"/>
    </row>
    <row r="220" spans="1:7" s="60" customFormat="1" x14ac:dyDescent="0.25">
      <c r="A220" s="99"/>
      <c r="B220" s="99"/>
      <c r="C220" s="99"/>
      <c r="D220" s="103"/>
      <c r="E220" s="99"/>
      <c r="F220" s="99"/>
      <c r="G220" s="99"/>
    </row>
    <row r="221" spans="1:7" s="60" customFormat="1" x14ac:dyDescent="0.25">
      <c r="A221" s="99"/>
      <c r="B221" s="99"/>
      <c r="C221" s="99"/>
      <c r="D221" s="103"/>
      <c r="E221" s="99"/>
      <c r="F221" s="99"/>
      <c r="G221" s="99"/>
    </row>
    <row r="222" spans="1:7" s="60" customFormat="1" x14ac:dyDescent="0.25">
      <c r="A222" s="99"/>
      <c r="B222" s="99"/>
      <c r="C222" s="99"/>
      <c r="D222" s="103"/>
      <c r="E222" s="99"/>
      <c r="F222" s="99"/>
      <c r="G222" s="99"/>
    </row>
    <row r="223" spans="1:7" s="60" customFormat="1" x14ac:dyDescent="0.25">
      <c r="A223" s="99"/>
      <c r="B223" s="99"/>
      <c r="C223" s="99"/>
      <c r="D223" s="103"/>
      <c r="E223" s="99"/>
      <c r="F223" s="99"/>
      <c r="G223" s="99"/>
    </row>
    <row r="224" spans="1:7" s="60" customFormat="1" x14ac:dyDescent="0.25">
      <c r="A224" s="99"/>
      <c r="B224" s="99"/>
      <c r="C224" s="99"/>
      <c r="D224" s="103"/>
      <c r="E224" s="99"/>
      <c r="F224" s="99"/>
      <c r="G224" s="99"/>
    </row>
    <row r="225" spans="1:7" s="60" customFormat="1" x14ac:dyDescent="0.25">
      <c r="A225" s="99"/>
      <c r="B225" s="99"/>
      <c r="C225" s="99"/>
      <c r="D225" s="103"/>
      <c r="E225" s="99"/>
      <c r="F225" s="99"/>
      <c r="G225" s="99"/>
    </row>
    <row r="226" spans="1:7" s="60" customFormat="1" x14ac:dyDescent="0.25">
      <c r="A226" s="99"/>
      <c r="B226" s="99"/>
      <c r="C226" s="99"/>
      <c r="D226" s="103"/>
      <c r="E226" s="99"/>
      <c r="F226" s="99"/>
      <c r="G226" s="99"/>
    </row>
    <row r="227" spans="1:7" s="60" customFormat="1" x14ac:dyDescent="0.25">
      <c r="A227" s="99"/>
      <c r="B227" s="99"/>
      <c r="C227" s="99"/>
      <c r="D227" s="103"/>
      <c r="E227" s="99"/>
      <c r="F227" s="99"/>
      <c r="G227" s="99"/>
    </row>
    <row r="228" spans="1:7" s="60" customFormat="1" x14ac:dyDescent="0.25">
      <c r="A228" s="99"/>
      <c r="B228" s="99"/>
      <c r="C228" s="99"/>
      <c r="D228" s="103"/>
      <c r="E228" s="99"/>
      <c r="F228" s="99"/>
      <c r="G228" s="99"/>
    </row>
    <row r="229" spans="1:7" s="60" customFormat="1" x14ac:dyDescent="0.25">
      <c r="A229" s="99"/>
      <c r="B229" s="99"/>
      <c r="C229" s="99"/>
      <c r="D229" s="103"/>
      <c r="E229" s="99"/>
      <c r="F229" s="99"/>
      <c r="G229" s="99"/>
    </row>
    <row r="230" spans="1:7" s="60" customFormat="1" x14ac:dyDescent="0.25">
      <c r="A230" s="99"/>
      <c r="B230" s="99"/>
      <c r="C230" s="99"/>
      <c r="D230" s="103"/>
      <c r="E230" s="99"/>
      <c r="F230" s="99"/>
      <c r="G230" s="99"/>
    </row>
    <row r="231" spans="1:7" s="60" customFormat="1" x14ac:dyDescent="0.25">
      <c r="A231" s="99"/>
      <c r="B231" s="99"/>
      <c r="C231" s="99"/>
      <c r="D231" s="103"/>
      <c r="E231" s="99"/>
      <c r="F231" s="99"/>
      <c r="G231" s="99"/>
    </row>
    <row r="232" spans="1:7" s="60" customFormat="1" x14ac:dyDescent="0.25">
      <c r="A232" s="99"/>
      <c r="B232" s="99"/>
      <c r="C232" s="99"/>
      <c r="D232" s="103"/>
      <c r="E232" s="99"/>
      <c r="F232" s="99"/>
      <c r="G232" s="99"/>
    </row>
    <row r="233" spans="1:7" s="60" customFormat="1" x14ac:dyDescent="0.25">
      <c r="A233" s="99"/>
      <c r="B233" s="99"/>
      <c r="C233" s="99"/>
      <c r="D233" s="103"/>
      <c r="E233" s="99"/>
      <c r="F233" s="99"/>
      <c r="G233" s="99"/>
    </row>
    <row r="234" spans="1:7" s="60" customFormat="1" x14ac:dyDescent="0.25">
      <c r="A234" s="99"/>
      <c r="B234" s="99"/>
      <c r="C234" s="99"/>
      <c r="D234" s="103"/>
      <c r="E234" s="99"/>
      <c r="F234" s="99"/>
      <c r="G234" s="99"/>
    </row>
    <row r="235" spans="1:7" s="60" customFormat="1" x14ac:dyDescent="0.25">
      <c r="A235" s="99"/>
      <c r="B235" s="99"/>
      <c r="C235" s="99"/>
      <c r="D235" s="103"/>
      <c r="E235" s="99"/>
      <c r="F235" s="99"/>
      <c r="G235" s="99"/>
    </row>
    <row r="236" spans="1:7" s="60" customFormat="1" x14ac:dyDescent="0.25">
      <c r="A236" s="99"/>
      <c r="B236" s="99"/>
      <c r="C236" s="99"/>
      <c r="D236" s="103"/>
      <c r="E236" s="99"/>
      <c r="F236" s="99"/>
      <c r="G236" s="99"/>
    </row>
    <row r="237" spans="1:7" s="60" customFormat="1" x14ac:dyDescent="0.25">
      <c r="A237" s="99"/>
      <c r="B237" s="99"/>
      <c r="C237" s="99"/>
      <c r="D237" s="103"/>
      <c r="E237" s="99"/>
      <c r="F237" s="99"/>
      <c r="G237" s="99"/>
    </row>
    <row r="238" spans="1:7" s="60" customFormat="1" x14ac:dyDescent="0.25">
      <c r="A238" s="99"/>
      <c r="B238" s="99"/>
      <c r="C238" s="99"/>
      <c r="D238" s="103"/>
      <c r="E238" s="99"/>
      <c r="F238" s="99"/>
      <c r="G238" s="99"/>
    </row>
    <row r="239" spans="1:7" s="60" customFormat="1" x14ac:dyDescent="0.25">
      <c r="A239" s="99"/>
      <c r="B239" s="99"/>
      <c r="C239" s="99"/>
      <c r="D239" s="103"/>
      <c r="E239" s="99"/>
      <c r="F239" s="99"/>
      <c r="G239" s="99"/>
    </row>
    <row r="240" spans="1:7" s="60" customFormat="1" x14ac:dyDescent="0.25">
      <c r="A240" s="99"/>
      <c r="B240" s="99"/>
      <c r="C240" s="99"/>
      <c r="D240" s="103"/>
      <c r="E240" s="99"/>
      <c r="F240" s="99"/>
      <c r="G240" s="99"/>
    </row>
    <row r="241" spans="1:7" s="60" customFormat="1" x14ac:dyDescent="0.25">
      <c r="A241" s="99"/>
      <c r="B241" s="99"/>
      <c r="C241" s="99"/>
      <c r="D241" s="103"/>
      <c r="E241" s="99"/>
      <c r="F241" s="99"/>
      <c r="G241" s="99"/>
    </row>
    <row r="242" spans="1:7" s="60" customFormat="1" x14ac:dyDescent="0.25">
      <c r="A242" s="99"/>
      <c r="B242" s="99"/>
      <c r="C242" s="99"/>
      <c r="D242" s="103"/>
      <c r="E242" s="99"/>
      <c r="F242" s="99"/>
      <c r="G242" s="99"/>
    </row>
    <row r="243" spans="1:7" s="60" customFormat="1" x14ac:dyDescent="0.25">
      <c r="A243" s="99"/>
      <c r="B243" s="99"/>
      <c r="C243" s="99"/>
      <c r="D243" s="103"/>
      <c r="E243" s="99"/>
      <c r="F243" s="99"/>
      <c r="G243" s="99"/>
    </row>
    <row r="244" spans="1:7" s="60" customFormat="1" x14ac:dyDescent="0.25">
      <c r="A244" s="99"/>
      <c r="B244" s="99"/>
      <c r="C244" s="99"/>
      <c r="D244" s="103"/>
      <c r="E244" s="99"/>
      <c r="F244" s="99"/>
      <c r="G244" s="99"/>
    </row>
  </sheetData>
  <mergeCells count="6">
    <mergeCell ref="F98:G98"/>
    <mergeCell ref="E152:F152"/>
    <mergeCell ref="F44:G44"/>
    <mergeCell ref="F1:G1"/>
    <mergeCell ref="A15:C15"/>
    <mergeCell ref="B40:C40"/>
  </mergeCells>
  <conditionalFormatting sqref="C17:C32">
    <cfRule type="containsText" dxfId="11" priority="11" operator="containsText" text="NO">
      <formula>NOT(ISERROR(SEARCH("NO",C17)))</formula>
    </cfRule>
  </conditionalFormatting>
  <conditionalFormatting sqref="B6">
    <cfRule type="duplicateValues" dxfId="10" priority="3"/>
    <cfRule type="duplicateValues" dxfId="9" priority="4"/>
    <cfRule type="duplicateValues" dxfId="8" priority="5"/>
  </conditionalFormatting>
  <conditionalFormatting sqref="B6">
    <cfRule type="duplicateValues" dxfId="7" priority="1"/>
    <cfRule type="duplicateValues" dxfId="6" priority="2"/>
  </conditionalFormatting>
  <pageMargins left="0.70866141732283472" right="0.70866141732283472" top="0.74803149606299213" bottom="0.74803149606299213" header="0.31496062992125984" footer="0.31496062992125984"/>
  <pageSetup scale="64" orientation="portrait" r:id="rId1"/>
  <headerFooter>
    <oddFooter>&amp;RF.OLIVA</oddFooter>
  </headerFooter>
  <rowBreaks count="4" manualBreakCount="4">
    <brk id="41" max="7" man="1"/>
    <brk id="95" max="7" man="1"/>
    <brk id="149" max="7" man="1"/>
    <brk id="197" max="7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'C:\Users\oliva.francis\Desktop\2017\AUDITORIAS PERSONAL INTERNO\[CALIDAD DE LA INSTALACION 2017 V1..xlsx]HFC'!#REF!</xm:f>
          </x14:formula1>
          <xm:sqref>A8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92D050"/>
  </sheetPr>
  <dimension ref="A1:J287"/>
  <sheetViews>
    <sheetView showGridLines="0" view="pageBreakPreview" zoomScale="70" zoomScaleNormal="100" zoomScaleSheetLayoutView="70" workbookViewId="0">
      <selection activeCell="B6" sqref="B6"/>
    </sheetView>
  </sheetViews>
  <sheetFormatPr baseColWidth="10" defaultColWidth="11.42578125" defaultRowHeight="12.75" x14ac:dyDescent="0.2"/>
  <cols>
    <col min="1" max="1" width="28.28515625" style="12" customWidth="1"/>
    <col min="2" max="2" width="27.85546875" style="12" bestFit="1" customWidth="1"/>
    <col min="3" max="3" width="23.28515625" style="12" customWidth="1"/>
    <col min="4" max="4" width="14.5703125" style="12" customWidth="1"/>
    <col min="5" max="16384" width="11.42578125" style="12"/>
  </cols>
  <sheetData>
    <row r="1" spans="1:7" ht="41.25" customHeight="1" x14ac:dyDescent="0.5">
      <c r="F1" s="224"/>
      <c r="G1" s="224"/>
    </row>
    <row r="2" spans="1:7" ht="18.75" x14ac:dyDescent="0.3">
      <c r="B2" s="14" t="s">
        <v>132</v>
      </c>
    </row>
    <row r="3" spans="1:7" x14ac:dyDescent="0.2">
      <c r="A3" s="55" t="s">
        <v>12</v>
      </c>
      <c r="B3" s="66" t="e">
        <f>VLOOKUP($B$6,GPON!$A:$BS,5,0)</f>
        <v>#N/A</v>
      </c>
      <c r="C3" s="2" t="s">
        <v>11</v>
      </c>
      <c r="D3" s="97" t="e">
        <f>VLOOKUP($B$6,GPON!A:BS,2,0)</f>
        <v>#N/A</v>
      </c>
    </row>
    <row r="4" spans="1:7" ht="15" x14ac:dyDescent="0.2">
      <c r="A4" s="55" t="s">
        <v>26</v>
      </c>
      <c r="B4" s="66" t="s">
        <v>61</v>
      </c>
      <c r="C4" s="1"/>
      <c r="D4" s="1"/>
    </row>
    <row r="5" spans="1:7" ht="15" x14ac:dyDescent="0.25">
      <c r="A5" s="3" t="s">
        <v>13</v>
      </c>
      <c r="B5" s="66" t="e">
        <f>VLOOKUP($B$6,GPON!$A:$BS,6,0)</f>
        <v>#N/A</v>
      </c>
      <c r="C5"/>
      <c r="D5"/>
    </row>
    <row r="6" spans="1:7" ht="15" x14ac:dyDescent="0.25">
      <c r="A6" s="3" t="s">
        <v>62</v>
      </c>
      <c r="B6" s="110"/>
      <c r="C6" s="15"/>
      <c r="D6" s="4"/>
    </row>
    <row r="7" spans="1:7" ht="15" x14ac:dyDescent="0.25">
      <c r="A7" s="55" t="s">
        <v>28</v>
      </c>
      <c r="B7" s="66" t="e">
        <f>VLOOKUP($B$6,GPON!$A:$BS,7,0)</f>
        <v>#N/A</v>
      </c>
      <c r="C7"/>
      <c r="D7" s="4"/>
    </row>
    <row r="8" spans="1:7" ht="15" x14ac:dyDescent="0.2">
      <c r="A8" s="55" t="s">
        <v>27</v>
      </c>
      <c r="B8" s="66"/>
      <c r="C8" s="4"/>
      <c r="D8" s="4"/>
    </row>
    <row r="9" spans="1:7" ht="15" x14ac:dyDescent="0.2">
      <c r="A9" s="55" t="s">
        <v>40</v>
      </c>
      <c r="B9" s="85" t="s">
        <v>60</v>
      </c>
      <c r="C9" s="4"/>
    </row>
    <row r="10" spans="1:7" ht="15" x14ac:dyDescent="0.2">
      <c r="A10" s="5"/>
      <c r="B10" s="5"/>
      <c r="C10" s="6"/>
      <c r="D10" s="6"/>
    </row>
    <row r="11" spans="1:7" x14ac:dyDescent="0.2">
      <c r="A11" s="16" t="s">
        <v>29</v>
      </c>
      <c r="B11" s="98" t="e">
        <f>VLOOKUP($B$6,GPON!$A:$BS,8,0)</f>
        <v>#N/A</v>
      </c>
      <c r="C11" s="56" t="s">
        <v>30</v>
      </c>
      <c r="D11" s="7"/>
    </row>
    <row r="12" spans="1:7" x14ac:dyDescent="0.2">
      <c r="A12" s="17" t="s">
        <v>31</v>
      </c>
      <c r="B12" s="98" t="e">
        <f>VLOOKUP($B$6,GPON!$A:$BS,9,0)</f>
        <v>#N/A</v>
      </c>
      <c r="C12" s="56" t="s">
        <v>30</v>
      </c>
      <c r="D12" s="7"/>
    </row>
    <row r="13" spans="1:7" x14ac:dyDescent="0.2">
      <c r="A13" s="18"/>
      <c r="B13" s="19"/>
    </row>
    <row r="14" spans="1:7" x14ac:dyDescent="0.2">
      <c r="A14" s="19"/>
      <c r="B14" s="19"/>
    </row>
    <row r="15" spans="1:7" ht="13.5" thickBot="1" x14ac:dyDescent="0.25">
      <c r="A15" s="20" t="s">
        <v>41</v>
      </c>
      <c r="B15" s="21" t="s">
        <v>35</v>
      </c>
      <c r="C15" s="37" t="s">
        <v>42</v>
      </c>
      <c r="D15" s="37" t="s">
        <v>39</v>
      </c>
    </row>
    <row r="16" spans="1:7" ht="15.75" thickBot="1" x14ac:dyDescent="0.3">
      <c r="A16" s="183" t="s">
        <v>119</v>
      </c>
      <c r="B16" s="154">
        <v>10</v>
      </c>
      <c r="C16" s="65" t="e">
        <f>VLOOKUP($B$6,GPON!$A:$BS,40,0)</f>
        <v>#N/A</v>
      </c>
      <c r="D16" s="13" t="e">
        <f>IF(C16="si",10,IF(C16="no",0,IF(C16="n/a",10)))</f>
        <v>#N/A</v>
      </c>
    </row>
    <row r="17" spans="1:4" ht="15.75" thickBot="1" x14ac:dyDescent="0.3">
      <c r="A17" s="183" t="s">
        <v>120</v>
      </c>
      <c r="B17" s="154">
        <v>10</v>
      </c>
      <c r="C17" s="65" t="e">
        <f>VLOOKUP($B$6,GPON!$A:$BS,41,0)</f>
        <v>#N/A</v>
      </c>
      <c r="D17" s="13" t="e">
        <f t="shared" ref="D17:D26" si="0">IF(C17="si",10,IF(C17="no",0,IF(C17="n/a",10)))</f>
        <v>#N/A</v>
      </c>
    </row>
    <row r="18" spans="1:4" ht="15.75" thickBot="1" x14ac:dyDescent="0.3">
      <c r="A18" s="183" t="s">
        <v>121</v>
      </c>
      <c r="B18" s="154">
        <v>15</v>
      </c>
      <c r="C18" s="65" t="e">
        <f>VLOOKUP($B$6,GPON!$A:$BS,42,0)</f>
        <v>#N/A</v>
      </c>
      <c r="D18" s="13" t="e">
        <f>IF(C18="si",15,IF(C18="no",0,IF(C18="n/a",15)))</f>
        <v>#N/A</v>
      </c>
    </row>
    <row r="19" spans="1:4" ht="26.25" thickBot="1" x14ac:dyDescent="0.3">
      <c r="A19" s="183" t="s">
        <v>122</v>
      </c>
      <c r="B19" s="154">
        <v>15</v>
      </c>
      <c r="C19" s="65" t="e">
        <f>VLOOKUP($B$6,GPON!$A:$BS,43,0)</f>
        <v>#N/A</v>
      </c>
      <c r="D19" s="13" t="e">
        <f>IF(C19="si",15,IF(C19="no",0,IF(C19="n/a",15)))</f>
        <v>#N/A</v>
      </c>
    </row>
    <row r="20" spans="1:4" ht="15.75" thickBot="1" x14ac:dyDescent="0.3">
      <c r="A20" s="183" t="s">
        <v>123</v>
      </c>
      <c r="B20" s="154">
        <v>5</v>
      </c>
      <c r="C20" s="65" t="e">
        <f>VLOOKUP($B$6,GPON!$A:$BS,44,0)</f>
        <v>#N/A</v>
      </c>
      <c r="D20" s="13" t="e">
        <f>IF(C20="si",5,IF(C20="no",0,IF(C20="n/a",5)))</f>
        <v>#N/A</v>
      </c>
    </row>
    <row r="21" spans="1:4" ht="15.75" thickBot="1" x14ac:dyDescent="0.3">
      <c r="A21" s="183" t="s">
        <v>124</v>
      </c>
      <c r="B21" s="154">
        <v>10</v>
      </c>
      <c r="C21" s="65" t="e">
        <f>VLOOKUP($B$6,GPON!$A:$BS,45,0)</f>
        <v>#N/A</v>
      </c>
      <c r="D21" s="13" t="e">
        <f t="shared" si="0"/>
        <v>#N/A</v>
      </c>
    </row>
    <row r="22" spans="1:4" ht="15.75" thickBot="1" x14ac:dyDescent="0.3">
      <c r="A22" s="183" t="s">
        <v>125</v>
      </c>
      <c r="B22" s="154">
        <v>5</v>
      </c>
      <c r="C22" s="65" t="e">
        <f>VLOOKUP($B$6,GPON!$A:$BS,46,0)</f>
        <v>#N/A</v>
      </c>
      <c r="D22" s="13" t="e">
        <f>IF(C22="si",5,IF(C22="no",0,IF(C22="n/a",5)))</f>
        <v>#N/A</v>
      </c>
    </row>
    <row r="23" spans="1:4" ht="15.75" thickBot="1" x14ac:dyDescent="0.3">
      <c r="A23" s="183" t="s">
        <v>126</v>
      </c>
      <c r="B23" s="154">
        <v>10</v>
      </c>
      <c r="C23" s="65" t="e">
        <f>VLOOKUP($B$6,GPON!$A:$BS,47,0)</f>
        <v>#N/A</v>
      </c>
      <c r="D23" s="13" t="e">
        <f t="shared" si="0"/>
        <v>#N/A</v>
      </c>
    </row>
    <row r="24" spans="1:4" ht="15.75" thickBot="1" x14ac:dyDescent="0.3">
      <c r="A24" s="183" t="s">
        <v>127</v>
      </c>
      <c r="B24" s="154">
        <v>5</v>
      </c>
      <c r="C24" s="65" t="e">
        <f>VLOOKUP($B$6,GPON!$A:$BS,48,0)</f>
        <v>#N/A</v>
      </c>
      <c r="D24" s="13" t="e">
        <f>IF(C24="si",5,IF(C24="no",0,IF(C24="n/a",5)))</f>
        <v>#N/A</v>
      </c>
    </row>
    <row r="25" spans="1:4" ht="15.75" thickBot="1" x14ac:dyDescent="0.3">
      <c r="A25" s="183" t="s">
        <v>128</v>
      </c>
      <c r="B25" s="154">
        <v>5</v>
      </c>
      <c r="C25" s="65" t="e">
        <f>VLOOKUP($B$6,GPON!$A:$BS,49,0)</f>
        <v>#N/A</v>
      </c>
      <c r="D25" s="13" t="e">
        <f>IF(C25="si",5,IF(C25="no",0,IF(C25="n/a",5)))</f>
        <v>#N/A</v>
      </c>
    </row>
    <row r="26" spans="1:4" ht="15.75" thickBot="1" x14ac:dyDescent="0.3">
      <c r="A26" s="183" t="s">
        <v>129</v>
      </c>
      <c r="B26" s="154">
        <v>10</v>
      </c>
      <c r="C26" s="65" t="e">
        <f>VLOOKUP($B$6,GPON!$A:$BS,50,0)</f>
        <v>#N/A</v>
      </c>
      <c r="D26" s="51" t="e">
        <f t="shared" si="0"/>
        <v>#N/A</v>
      </c>
    </row>
    <row r="27" spans="1:4" ht="16.5" thickBot="1" x14ac:dyDescent="0.25">
      <c r="A27" s="23" t="s">
        <v>43</v>
      </c>
      <c r="B27" s="155">
        <f>SUM(B16:B26)</f>
        <v>100</v>
      </c>
      <c r="D27" s="52" t="e">
        <f>SUM(D16:D26)</f>
        <v>#N/A</v>
      </c>
    </row>
    <row r="28" spans="1:4" x14ac:dyDescent="0.2">
      <c r="A28" s="24"/>
      <c r="B28" s="25"/>
    </row>
    <row r="29" spans="1:4" x14ac:dyDescent="0.2">
      <c r="A29" s="228" t="s">
        <v>44</v>
      </c>
      <c r="B29" s="229"/>
      <c r="C29" s="229"/>
      <c r="D29" s="230"/>
    </row>
    <row r="30" spans="1:4" x14ac:dyDescent="0.2">
      <c r="A30" s="231"/>
      <c r="B30" s="232"/>
      <c r="C30" s="232"/>
      <c r="D30" s="233"/>
    </row>
    <row r="31" spans="1:4" x14ac:dyDescent="0.2">
      <c r="A31" s="234"/>
      <c r="B31" s="235"/>
      <c r="C31" s="235"/>
      <c r="D31" s="236"/>
    </row>
    <row r="32" spans="1:4" x14ac:dyDescent="0.2">
      <c r="A32" s="96"/>
      <c r="B32" s="96"/>
      <c r="C32" s="96"/>
      <c r="D32" s="96"/>
    </row>
    <row r="33" spans="1:10" x14ac:dyDescent="0.2">
      <c r="A33" s="19"/>
      <c r="B33" s="19"/>
    </row>
    <row r="34" spans="1:10" x14ac:dyDescent="0.2">
      <c r="A34" s="26"/>
      <c r="B34" s="26"/>
      <c r="C34" s="27"/>
      <c r="D34" s="27"/>
    </row>
    <row r="35" spans="1:10" x14ac:dyDescent="0.2">
      <c r="A35" s="28" t="s">
        <v>45</v>
      </c>
      <c r="B35" s="29" t="s">
        <v>6</v>
      </c>
    </row>
    <row r="36" spans="1:10" x14ac:dyDescent="0.2">
      <c r="A36" s="19"/>
      <c r="B36" s="19"/>
    </row>
    <row r="37" spans="1:10" ht="13.5" thickBot="1" x14ac:dyDescent="0.25">
      <c r="A37" s="22" t="s">
        <v>46</v>
      </c>
      <c r="B37" s="21" t="s">
        <v>35</v>
      </c>
      <c r="C37" s="37" t="s">
        <v>42</v>
      </c>
      <c r="D37" s="37" t="s">
        <v>39</v>
      </c>
    </row>
    <row r="38" spans="1:10" ht="15.75" thickBot="1" x14ac:dyDescent="0.3">
      <c r="A38" s="183" t="s">
        <v>14</v>
      </c>
      <c r="B38" s="154">
        <v>20</v>
      </c>
      <c r="C38" s="65" t="e">
        <f>VLOOKUP($B$6,GPON!$A:$BS,51,0)</f>
        <v>#N/A</v>
      </c>
      <c r="D38" s="13" t="e">
        <f>IF(C38="si",20,IF(C38="no",0,IF(C38="n/a",20)))</f>
        <v>#N/A</v>
      </c>
    </row>
    <row r="39" spans="1:10" ht="15.75" thickBot="1" x14ac:dyDescent="0.3">
      <c r="A39" s="183" t="s">
        <v>15</v>
      </c>
      <c r="B39" s="154">
        <v>20</v>
      </c>
      <c r="C39" s="65" t="e">
        <f>VLOOKUP($B$6,GPON!$A:$BS,52,0)</f>
        <v>#N/A</v>
      </c>
      <c r="D39" s="13" t="e">
        <f t="shared" ref="D39:D41" si="1">IF(C39="si",20,IF(C39="no",0,IF(C39="n/a",20)))</f>
        <v>#N/A</v>
      </c>
    </row>
    <row r="40" spans="1:10" ht="15.75" thickBot="1" x14ac:dyDescent="0.3">
      <c r="A40" s="183" t="s">
        <v>16</v>
      </c>
      <c r="B40" s="154">
        <v>20</v>
      </c>
      <c r="C40" s="65" t="e">
        <f>VLOOKUP($B$6,GPON!$A:$BS,53,0)</f>
        <v>#N/A</v>
      </c>
      <c r="D40" s="13" t="e">
        <f t="shared" si="1"/>
        <v>#N/A</v>
      </c>
      <c r="J40" s="84"/>
    </row>
    <row r="41" spans="1:10" ht="15.75" thickBot="1" x14ac:dyDescent="0.3">
      <c r="A41" s="183" t="s">
        <v>17</v>
      </c>
      <c r="B41" s="154">
        <v>20</v>
      </c>
      <c r="C41" s="65" t="e">
        <f>VLOOKUP($B$6,GPON!$A:$BS,54,0)</f>
        <v>#N/A</v>
      </c>
      <c r="D41" s="13" t="e">
        <f t="shared" si="1"/>
        <v>#N/A</v>
      </c>
    </row>
    <row r="42" spans="1:10" ht="15.75" thickBot="1" x14ac:dyDescent="0.3">
      <c r="A42" s="183" t="s">
        <v>18</v>
      </c>
      <c r="B42" s="154">
        <v>5</v>
      </c>
      <c r="C42" s="65" t="e">
        <f>VLOOKUP($B$6,GPON!$A:$BS,55,0)</f>
        <v>#N/A</v>
      </c>
      <c r="D42" s="13" t="e">
        <f>IF(C42="si",5,IF(C42="no",0,IF(C42="n/a",5)))</f>
        <v>#N/A</v>
      </c>
    </row>
    <row r="43" spans="1:10" ht="15.75" thickBot="1" x14ac:dyDescent="0.3">
      <c r="A43" s="183" t="s">
        <v>19</v>
      </c>
      <c r="B43" s="154">
        <v>15</v>
      </c>
      <c r="C43" s="65" t="e">
        <f>VLOOKUP($B$6,GPON!$A:$BS,56,0)</f>
        <v>#N/A</v>
      </c>
      <c r="D43" s="51" t="e">
        <f>IF(C43="si",15,IF(C43="no",0,IF(C43="n/a",15)))</f>
        <v>#N/A</v>
      </c>
    </row>
    <row r="44" spans="1:10" ht="16.5" thickBot="1" x14ac:dyDescent="0.25">
      <c r="A44" s="23" t="s">
        <v>43</v>
      </c>
      <c r="B44" s="155">
        <f>SUM(B38:B43)</f>
        <v>100</v>
      </c>
      <c r="C44" s="30"/>
      <c r="D44" s="52" t="e">
        <f>SUM(D38:D43)</f>
        <v>#N/A</v>
      </c>
    </row>
    <row r="45" spans="1:10" x14ac:dyDescent="0.2">
      <c r="A45" s="24"/>
      <c r="B45" s="25"/>
    </row>
    <row r="46" spans="1:10" x14ac:dyDescent="0.2">
      <c r="A46" s="228" t="s">
        <v>44</v>
      </c>
      <c r="B46" s="229"/>
      <c r="C46" s="229"/>
      <c r="D46" s="230"/>
    </row>
    <row r="47" spans="1:10" x14ac:dyDescent="0.2">
      <c r="A47" s="231"/>
      <c r="B47" s="232"/>
      <c r="C47" s="232"/>
      <c r="D47" s="233"/>
    </row>
    <row r="48" spans="1:10" x14ac:dyDescent="0.2">
      <c r="A48" s="234"/>
      <c r="B48" s="235"/>
      <c r="C48" s="235"/>
      <c r="D48" s="236"/>
    </row>
    <row r="49" spans="1:4" x14ac:dyDescent="0.2">
      <c r="A49" s="96"/>
      <c r="B49" s="96"/>
      <c r="C49" s="96"/>
      <c r="D49" s="96"/>
    </row>
    <row r="50" spans="1:4" x14ac:dyDescent="0.2">
      <c r="A50" s="31"/>
      <c r="B50" s="31"/>
      <c r="C50" s="32"/>
      <c r="D50" s="32"/>
    </row>
    <row r="51" spans="1:4" x14ac:dyDescent="0.2">
      <c r="A51" s="33"/>
      <c r="B51" s="34"/>
      <c r="C51" s="30"/>
      <c r="D51" s="30"/>
    </row>
    <row r="52" spans="1:4" x14ac:dyDescent="0.2">
      <c r="A52" s="28" t="s">
        <v>45</v>
      </c>
      <c r="B52" s="29"/>
      <c r="C52" s="30"/>
      <c r="D52" s="30"/>
    </row>
    <row r="53" spans="1:4" x14ac:dyDescent="0.2">
      <c r="A53" s="33"/>
      <c r="B53" s="34"/>
      <c r="C53" s="30"/>
      <c r="D53" s="30"/>
    </row>
    <row r="54" spans="1:4" ht="15" x14ac:dyDescent="0.25">
      <c r="A54" s="22" t="s">
        <v>47</v>
      </c>
      <c r="B54" s="21" t="s">
        <v>35</v>
      </c>
      <c r="C54" s="22" t="s">
        <v>42</v>
      </c>
      <c r="D54"/>
    </row>
    <row r="55" spans="1:4" ht="15" x14ac:dyDescent="0.25">
      <c r="A55" s="35" t="s">
        <v>48</v>
      </c>
      <c r="B55" s="154">
        <v>15</v>
      </c>
      <c r="C55" s="70"/>
      <c r="D55"/>
    </row>
    <row r="56" spans="1:4" ht="15" x14ac:dyDescent="0.25">
      <c r="A56" s="36" t="s">
        <v>49</v>
      </c>
      <c r="B56" s="154">
        <v>15</v>
      </c>
      <c r="C56" s="70"/>
      <c r="D56"/>
    </row>
    <row r="57" spans="1:4" ht="15" x14ac:dyDescent="0.25">
      <c r="A57" s="36" t="s">
        <v>50</v>
      </c>
      <c r="B57" s="154">
        <v>10</v>
      </c>
      <c r="C57" s="70"/>
      <c r="D57"/>
    </row>
    <row r="58" spans="1:4" ht="15" x14ac:dyDescent="0.25">
      <c r="A58" s="36" t="s">
        <v>51</v>
      </c>
      <c r="B58" s="154">
        <v>10</v>
      </c>
      <c r="C58" s="70"/>
      <c r="D58"/>
    </row>
    <row r="59" spans="1:4" ht="15" x14ac:dyDescent="0.25">
      <c r="A59" s="36" t="s">
        <v>52</v>
      </c>
      <c r="B59" s="154">
        <v>10</v>
      </c>
      <c r="C59" s="70"/>
      <c r="D59"/>
    </row>
    <row r="60" spans="1:4" ht="15" x14ac:dyDescent="0.25">
      <c r="A60" s="36" t="s">
        <v>53</v>
      </c>
      <c r="B60" s="154">
        <v>10</v>
      </c>
      <c r="C60" s="70"/>
      <c r="D60"/>
    </row>
    <row r="61" spans="1:4" ht="15" x14ac:dyDescent="0.25">
      <c r="A61" s="36" t="s">
        <v>54</v>
      </c>
      <c r="B61" s="154">
        <v>10</v>
      </c>
      <c r="C61" s="70"/>
      <c r="D61"/>
    </row>
    <row r="62" spans="1:4" ht="15" x14ac:dyDescent="0.25">
      <c r="A62" s="36" t="s">
        <v>55</v>
      </c>
      <c r="B62" s="154">
        <v>10</v>
      </c>
      <c r="C62" s="70"/>
      <c r="D62"/>
    </row>
    <row r="63" spans="1:4" ht="15" x14ac:dyDescent="0.25">
      <c r="A63" s="36" t="s">
        <v>56</v>
      </c>
      <c r="B63" s="154">
        <v>10</v>
      </c>
      <c r="C63" s="71"/>
      <c r="D63"/>
    </row>
    <row r="64" spans="1:4" ht="15" x14ac:dyDescent="0.25">
      <c r="A64" s="36" t="s">
        <v>57</v>
      </c>
      <c r="B64" s="67"/>
      <c r="C64" s="68"/>
      <c r="D64"/>
    </row>
    <row r="65" spans="1:6" x14ac:dyDescent="0.2">
      <c r="A65" s="23" t="s">
        <v>43</v>
      </c>
      <c r="B65" s="155">
        <f>SUM(B55:B63)</f>
        <v>100</v>
      </c>
      <c r="C65" s="72">
        <v>0</v>
      </c>
    </row>
    <row r="66" spans="1:6" x14ac:dyDescent="0.2">
      <c r="A66" s="24"/>
      <c r="B66" s="25"/>
    </row>
    <row r="67" spans="1:6" x14ac:dyDescent="0.2">
      <c r="A67" s="79" t="s">
        <v>44</v>
      </c>
      <c r="B67" s="80"/>
      <c r="C67" s="80"/>
      <c r="D67" s="81"/>
    </row>
    <row r="68" spans="1:6" x14ac:dyDescent="0.2">
      <c r="A68" s="237" t="e">
        <f>VLOOKUP($B$6,GPON!$A:$BS,87,0)</f>
        <v>#N/A</v>
      </c>
      <c r="B68" s="238" t="e">
        <f>VLOOKUP($B$6,GPON!$A:$BS,5,0)</f>
        <v>#N/A</v>
      </c>
      <c r="C68" s="238" t="e">
        <f>VLOOKUP($B$6,GPON!$A:$BS,5,0)</f>
        <v>#N/A</v>
      </c>
      <c r="D68" s="239" t="e">
        <f>VLOOKUP($B$6,GPON!$A:$BS,5,0)</f>
        <v>#N/A</v>
      </c>
    </row>
    <row r="69" spans="1:6" x14ac:dyDescent="0.2">
      <c r="A69" s="240" t="e">
        <f>VLOOKUP($B$6,GPON!$A:$BS,5,0)</f>
        <v>#N/A</v>
      </c>
      <c r="B69" s="241" t="e">
        <f>VLOOKUP($B$6,GPON!$A:$BS,5,0)</f>
        <v>#N/A</v>
      </c>
      <c r="C69" s="241" t="e">
        <f>VLOOKUP($B$6,GPON!$A:$BS,5,0)</f>
        <v>#N/A</v>
      </c>
      <c r="D69" s="242" t="e">
        <f>VLOOKUP($B$6,GPON!$A:$BS,5,0)</f>
        <v>#N/A</v>
      </c>
    </row>
    <row r="70" spans="1:6" x14ac:dyDescent="0.2">
      <c r="A70" s="96"/>
      <c r="B70" s="96"/>
      <c r="C70" s="96"/>
      <c r="D70" s="96"/>
    </row>
    <row r="71" spans="1:6" x14ac:dyDescent="0.2">
      <c r="A71" s="31"/>
      <c r="B71" s="31"/>
      <c r="C71" s="32"/>
      <c r="D71" s="32"/>
    </row>
    <row r="72" spans="1:6" x14ac:dyDescent="0.2">
      <c r="A72" s="96"/>
      <c r="B72" s="96"/>
      <c r="C72" s="96"/>
      <c r="D72" s="96"/>
    </row>
    <row r="73" spans="1:6" x14ac:dyDescent="0.2">
      <c r="A73" s="22" t="s">
        <v>58</v>
      </c>
      <c r="B73" s="21" t="s">
        <v>35</v>
      </c>
      <c r="C73" s="37" t="s">
        <v>42</v>
      </c>
      <c r="D73" s="37" t="s">
        <v>39</v>
      </c>
    </row>
    <row r="74" spans="1:6" ht="15" x14ac:dyDescent="0.25">
      <c r="A74" s="35" t="s">
        <v>59</v>
      </c>
      <c r="B74" s="69">
        <v>100</v>
      </c>
      <c r="C74" s="73" t="s">
        <v>6</v>
      </c>
      <c r="D74" s="13">
        <f>IF(C74="si",100,IF(C74="no",0,IF(C74="n/a",0)))</f>
        <v>100</v>
      </c>
    </row>
    <row r="75" spans="1:6" x14ac:dyDescent="0.2">
      <c r="A75" s="96"/>
      <c r="B75" s="96"/>
      <c r="C75" s="96"/>
      <c r="D75" s="96"/>
    </row>
    <row r="76" spans="1:6" x14ac:dyDescent="0.2">
      <c r="A76" s="228" t="s">
        <v>44</v>
      </c>
      <c r="B76" s="229"/>
      <c r="C76" s="229"/>
      <c r="D76" s="230"/>
    </row>
    <row r="77" spans="1:6" x14ac:dyDescent="0.2">
      <c r="A77" s="231"/>
      <c r="B77" s="232"/>
      <c r="C77" s="232"/>
      <c r="D77" s="233"/>
    </row>
    <row r="78" spans="1:6" x14ac:dyDescent="0.2">
      <c r="A78" s="234"/>
      <c r="B78" s="235"/>
      <c r="C78" s="235"/>
      <c r="D78" s="236"/>
    </row>
    <row r="80" spans="1:6" ht="15" x14ac:dyDescent="0.25">
      <c r="A80" s="87" t="s">
        <v>38</v>
      </c>
      <c r="B80" s="88" t="s">
        <v>70</v>
      </c>
      <c r="C80"/>
      <c r="E80" s="89" t="s">
        <v>71</v>
      </c>
      <c r="F80" s="88" t="s">
        <v>72</v>
      </c>
    </row>
    <row r="81" spans="1:7" ht="15" x14ac:dyDescent="0.25">
      <c r="A81" s="90"/>
      <c r="B81" s="91"/>
      <c r="C81" s="92"/>
      <c r="D81" s="92"/>
      <c r="F81"/>
      <c r="G81"/>
    </row>
    <row r="82" spans="1:7" x14ac:dyDescent="0.2">
      <c r="A82" s="93" t="s">
        <v>73</v>
      </c>
      <c r="B82" s="93" t="s">
        <v>74</v>
      </c>
      <c r="C82" s="105"/>
      <c r="D82" s="106" t="s">
        <v>75</v>
      </c>
      <c r="F82" s="93" t="s">
        <v>76</v>
      </c>
    </row>
    <row r="85" spans="1:7" ht="31.5" x14ac:dyDescent="0.2">
      <c r="F85" s="223"/>
      <c r="G85" s="223"/>
    </row>
    <row r="89" spans="1:7" ht="15" x14ac:dyDescent="0.2">
      <c r="B89" s="3" t="e">
        <f>VLOOKUP($B$6,GPON!$A:$BS,58,0)</f>
        <v>#N/A</v>
      </c>
      <c r="F89" s="95" t="e">
        <f>HYPERLINK(B89,"Abrir Imagen")</f>
        <v>#N/A</v>
      </c>
    </row>
    <row r="139" spans="6:7" ht="31.5" x14ac:dyDescent="0.5">
      <c r="F139" s="221"/>
      <c r="G139" s="221"/>
    </row>
    <row r="145" spans="2:6" ht="15" x14ac:dyDescent="0.2">
      <c r="B145" s="12" t="e">
        <f>VLOOKUP($B$6,GPON!$A:$BS,59,0)</f>
        <v>#N/A</v>
      </c>
      <c r="F145" s="95" t="e">
        <f>HYPERLINK(B145,"Abrir Imagen")</f>
        <v>#N/A</v>
      </c>
    </row>
    <row r="191" spans="4:4" s="60" customFormat="1" ht="15" x14ac:dyDescent="0.25">
      <c r="D191" s="82"/>
    </row>
    <row r="192" spans="4:4" s="60" customFormat="1" ht="15" x14ac:dyDescent="0.25">
      <c r="D192" s="82"/>
    </row>
    <row r="193" spans="2:6" s="60" customFormat="1" ht="31.5" x14ac:dyDescent="0.25">
      <c r="D193" s="82"/>
      <c r="E193" s="222"/>
      <c r="F193" s="222"/>
    </row>
    <row r="194" spans="2:6" s="60" customFormat="1" ht="15" x14ac:dyDescent="0.25">
      <c r="D194" s="82"/>
    </row>
    <row r="195" spans="2:6" s="60" customFormat="1" ht="15" x14ac:dyDescent="0.25">
      <c r="D195" s="82"/>
    </row>
    <row r="196" spans="2:6" s="60" customFormat="1" ht="15" x14ac:dyDescent="0.25">
      <c r="B196" s="94" t="e">
        <f>VLOOKUP($B$6,GPON!$A:$BS,60,0)</f>
        <v>#N/A</v>
      </c>
      <c r="D196" s="82"/>
      <c r="E196" s="95" t="e">
        <f>HYPERLINK(B196,"Abrir Imagen")</f>
        <v>#N/A</v>
      </c>
    </row>
    <row r="197" spans="2:6" s="60" customFormat="1" ht="15" x14ac:dyDescent="0.25">
      <c r="D197" s="82"/>
    </row>
    <row r="198" spans="2:6" s="60" customFormat="1" ht="15" x14ac:dyDescent="0.25">
      <c r="D198" s="82"/>
    </row>
    <row r="199" spans="2:6" s="60" customFormat="1" ht="15" x14ac:dyDescent="0.25">
      <c r="D199" s="82"/>
    </row>
    <row r="200" spans="2:6" s="60" customFormat="1" ht="15" x14ac:dyDescent="0.25">
      <c r="D200" s="83"/>
    </row>
    <row r="201" spans="2:6" s="60" customFormat="1" ht="15" x14ac:dyDescent="0.25">
      <c r="D201" s="83"/>
    </row>
    <row r="202" spans="2:6" s="60" customFormat="1" ht="15" x14ac:dyDescent="0.25">
      <c r="D202" s="83"/>
    </row>
    <row r="203" spans="2:6" s="60" customFormat="1" ht="15" x14ac:dyDescent="0.25">
      <c r="D203" s="83"/>
    </row>
    <row r="204" spans="2:6" s="60" customFormat="1" ht="15" x14ac:dyDescent="0.25">
      <c r="D204" s="83"/>
    </row>
    <row r="205" spans="2:6" s="60" customFormat="1" ht="15" x14ac:dyDescent="0.25">
      <c r="D205" s="83"/>
    </row>
    <row r="206" spans="2:6" s="60" customFormat="1" ht="15" x14ac:dyDescent="0.25">
      <c r="D206" s="83"/>
    </row>
    <row r="207" spans="2:6" s="60" customFormat="1" ht="15" x14ac:dyDescent="0.25">
      <c r="D207" s="83"/>
    </row>
    <row r="208" spans="2:6" s="60" customFormat="1" ht="15" x14ac:dyDescent="0.25">
      <c r="D208" s="83"/>
    </row>
    <row r="209" spans="4:4" s="60" customFormat="1" ht="15" x14ac:dyDescent="0.25">
      <c r="D209" s="83"/>
    </row>
    <row r="210" spans="4:4" s="60" customFormat="1" ht="15" x14ac:dyDescent="0.25">
      <c r="D210" s="83"/>
    </row>
    <row r="211" spans="4:4" s="60" customFormat="1" ht="15" x14ac:dyDescent="0.25">
      <c r="D211" s="83"/>
    </row>
    <row r="212" spans="4:4" s="60" customFormat="1" ht="15" x14ac:dyDescent="0.25">
      <c r="D212" s="83"/>
    </row>
    <row r="213" spans="4:4" s="60" customFormat="1" ht="15" x14ac:dyDescent="0.25">
      <c r="D213" s="83"/>
    </row>
    <row r="214" spans="4:4" s="60" customFormat="1" ht="15" x14ac:dyDescent="0.25">
      <c r="D214" s="83"/>
    </row>
    <row r="215" spans="4:4" s="60" customFormat="1" ht="15" x14ac:dyDescent="0.25">
      <c r="D215" s="83"/>
    </row>
    <row r="216" spans="4:4" s="60" customFormat="1" ht="15" x14ac:dyDescent="0.25">
      <c r="D216" s="83"/>
    </row>
    <row r="217" spans="4:4" s="60" customFormat="1" ht="15" x14ac:dyDescent="0.25">
      <c r="D217" s="83"/>
    </row>
    <row r="218" spans="4:4" s="60" customFormat="1" ht="15" x14ac:dyDescent="0.25">
      <c r="D218" s="83"/>
    </row>
    <row r="219" spans="4:4" s="60" customFormat="1" ht="15" x14ac:dyDescent="0.25">
      <c r="D219" s="83"/>
    </row>
    <row r="220" spans="4:4" s="60" customFormat="1" ht="15" x14ac:dyDescent="0.25">
      <c r="D220" s="83"/>
    </row>
    <row r="221" spans="4:4" s="60" customFormat="1" ht="15" x14ac:dyDescent="0.25">
      <c r="D221" s="83"/>
    </row>
    <row r="222" spans="4:4" s="60" customFormat="1" ht="15" x14ac:dyDescent="0.25">
      <c r="D222" s="83"/>
    </row>
    <row r="223" spans="4:4" s="60" customFormat="1" ht="15" x14ac:dyDescent="0.25">
      <c r="D223" s="83"/>
    </row>
    <row r="224" spans="4:4" s="60" customFormat="1" ht="15" x14ac:dyDescent="0.25">
      <c r="D224" s="83"/>
    </row>
    <row r="225" spans="1:7" s="60" customFormat="1" ht="15" x14ac:dyDescent="0.25">
      <c r="D225" s="83"/>
    </row>
    <row r="226" spans="1:7" s="60" customFormat="1" ht="15" x14ac:dyDescent="0.25">
      <c r="D226" s="83"/>
    </row>
    <row r="227" spans="1:7" s="60" customFormat="1" ht="15" x14ac:dyDescent="0.25">
      <c r="D227" s="83"/>
    </row>
    <row r="228" spans="1:7" s="60" customFormat="1" ht="15" x14ac:dyDescent="0.25">
      <c r="D228" s="83"/>
    </row>
    <row r="229" spans="1:7" s="60" customFormat="1" ht="15" x14ac:dyDescent="0.25">
      <c r="D229" s="83"/>
    </row>
    <row r="230" spans="1:7" s="60" customFormat="1" ht="15" x14ac:dyDescent="0.25">
      <c r="D230" s="83"/>
    </row>
    <row r="231" spans="1:7" s="60" customFormat="1" ht="15" x14ac:dyDescent="0.25">
      <c r="D231" s="83"/>
    </row>
    <row r="232" spans="1:7" s="60" customFormat="1" ht="15" x14ac:dyDescent="0.25">
      <c r="D232" s="83"/>
    </row>
    <row r="233" spans="1:7" s="60" customFormat="1" ht="15" x14ac:dyDescent="0.25">
      <c r="D233" s="83"/>
    </row>
    <row r="234" spans="1:7" s="60" customFormat="1" ht="15" x14ac:dyDescent="0.25">
      <c r="D234" s="83"/>
    </row>
    <row r="235" spans="1:7" s="60" customFormat="1" ht="15" x14ac:dyDescent="0.25">
      <c r="D235" s="83"/>
    </row>
    <row r="236" spans="1:7" s="60" customFormat="1" ht="15" x14ac:dyDescent="0.25">
      <c r="D236" s="83"/>
    </row>
    <row r="237" spans="1:7" s="60" customFormat="1" ht="15" x14ac:dyDescent="0.25">
      <c r="D237" s="83"/>
    </row>
    <row r="238" spans="1:7" s="60" customFormat="1" ht="15" x14ac:dyDescent="0.25">
      <c r="D238" s="83"/>
    </row>
    <row r="239" spans="1:7" s="60" customFormat="1" ht="15" x14ac:dyDescent="0.25">
      <c r="D239" s="82"/>
    </row>
    <row r="240" spans="1:7" s="60" customFormat="1" ht="15" x14ac:dyDescent="0.25">
      <c r="A240" s="99"/>
      <c r="B240" s="99"/>
      <c r="C240" s="99"/>
      <c r="D240" s="100"/>
      <c r="E240" s="99"/>
      <c r="F240" s="99"/>
      <c r="G240" s="99"/>
    </row>
    <row r="241" spans="1:7" s="60" customFormat="1" ht="15" x14ac:dyDescent="0.25">
      <c r="A241" s="99"/>
      <c r="B241" s="99"/>
      <c r="C241" s="99"/>
      <c r="D241" s="100"/>
      <c r="E241" s="99"/>
      <c r="F241" s="99"/>
      <c r="G241" s="99"/>
    </row>
    <row r="242" spans="1:7" s="60" customFormat="1" ht="31.5" customHeight="1" x14ac:dyDescent="0.25">
      <c r="A242" s="99"/>
      <c r="B242" s="99"/>
      <c r="C242" s="99"/>
      <c r="D242" s="100"/>
      <c r="E242" s="104"/>
      <c r="F242" s="104"/>
    </row>
    <row r="243" spans="1:7" s="60" customFormat="1" ht="15" x14ac:dyDescent="0.25">
      <c r="A243" s="99"/>
      <c r="B243" s="99"/>
      <c r="C243" s="99"/>
      <c r="D243" s="100"/>
      <c r="E243" s="99"/>
      <c r="F243" s="99"/>
    </row>
    <row r="244" spans="1:7" s="60" customFormat="1" ht="15" x14ac:dyDescent="0.25">
      <c r="A244" s="99"/>
      <c r="B244" s="99"/>
      <c r="C244" s="99"/>
      <c r="D244" s="100"/>
      <c r="E244" s="99"/>
      <c r="F244" s="99"/>
    </row>
    <row r="245" spans="1:7" s="60" customFormat="1" ht="15" x14ac:dyDescent="0.25">
      <c r="A245" s="99"/>
      <c r="B245" s="101" t="e">
        <f>VLOOKUP($B$6,GPON!$A:$BS,61,0)</f>
        <v>#N/A</v>
      </c>
      <c r="C245" s="99"/>
      <c r="D245" s="100"/>
      <c r="E245" s="102" t="e">
        <f>HYPERLINK(B245,"Abrir Imagen")</f>
        <v>#N/A</v>
      </c>
      <c r="F245" s="99"/>
      <c r="G245" s="99"/>
    </row>
    <row r="246" spans="1:7" s="60" customFormat="1" ht="15" x14ac:dyDescent="0.25">
      <c r="A246" s="99"/>
      <c r="B246" s="99"/>
      <c r="C246" s="99"/>
      <c r="D246" s="100"/>
      <c r="E246" s="99"/>
      <c r="F246" s="99"/>
      <c r="G246" s="99"/>
    </row>
    <row r="247" spans="1:7" s="60" customFormat="1" ht="15" x14ac:dyDescent="0.25">
      <c r="A247" s="99"/>
      <c r="B247" s="99"/>
      <c r="C247" s="99"/>
      <c r="D247" s="100"/>
      <c r="E247" s="99"/>
      <c r="F247" s="99"/>
      <c r="G247" s="99"/>
    </row>
    <row r="248" spans="1:7" s="60" customFormat="1" ht="15" x14ac:dyDescent="0.25">
      <c r="A248" s="99"/>
      <c r="B248" s="99"/>
      <c r="C248" s="99"/>
      <c r="D248" s="100"/>
      <c r="E248" s="99"/>
      <c r="F248" s="99"/>
      <c r="G248" s="99"/>
    </row>
    <row r="249" spans="1:7" s="60" customFormat="1" ht="15" x14ac:dyDescent="0.25">
      <c r="A249" s="99"/>
      <c r="B249" s="99"/>
      <c r="C249" s="99"/>
      <c r="D249" s="103"/>
      <c r="E249" s="99"/>
      <c r="F249" s="99"/>
      <c r="G249" s="99"/>
    </row>
    <row r="250" spans="1:7" s="60" customFormat="1" ht="15" x14ac:dyDescent="0.25">
      <c r="A250" s="99"/>
      <c r="B250" s="99"/>
      <c r="C250" s="99"/>
      <c r="D250" s="103"/>
      <c r="E250" s="99"/>
      <c r="F250" s="99"/>
      <c r="G250" s="99"/>
    </row>
    <row r="251" spans="1:7" s="60" customFormat="1" ht="15" x14ac:dyDescent="0.25">
      <c r="A251" s="99"/>
      <c r="B251" s="99"/>
      <c r="C251" s="99"/>
      <c r="D251" s="103"/>
      <c r="E251" s="99"/>
      <c r="F251" s="99"/>
      <c r="G251" s="99"/>
    </row>
    <row r="252" spans="1:7" s="60" customFormat="1" ht="15" x14ac:dyDescent="0.25">
      <c r="A252" s="99"/>
      <c r="B252" s="99"/>
      <c r="C252" s="99"/>
      <c r="D252" s="103"/>
      <c r="E252" s="99"/>
      <c r="F252" s="99"/>
      <c r="G252" s="99"/>
    </row>
    <row r="253" spans="1:7" s="60" customFormat="1" ht="15" x14ac:dyDescent="0.25">
      <c r="A253" s="99"/>
      <c r="B253" s="99"/>
      <c r="C253" s="99"/>
      <c r="D253" s="103"/>
      <c r="E253" s="99"/>
      <c r="F253" s="99"/>
      <c r="G253" s="99"/>
    </row>
    <row r="254" spans="1:7" s="60" customFormat="1" ht="15" x14ac:dyDescent="0.25">
      <c r="A254" s="99"/>
      <c r="B254" s="99"/>
      <c r="C254" s="99"/>
      <c r="D254" s="103"/>
      <c r="E254" s="99"/>
      <c r="F254" s="99"/>
      <c r="G254" s="99"/>
    </row>
    <row r="255" spans="1:7" s="60" customFormat="1" ht="15" x14ac:dyDescent="0.25">
      <c r="A255" s="99"/>
      <c r="B255" s="99"/>
      <c r="C255" s="99"/>
      <c r="D255" s="103"/>
      <c r="E255" s="99"/>
      <c r="F255" s="99"/>
      <c r="G255" s="99"/>
    </row>
    <row r="256" spans="1:7" s="60" customFormat="1" ht="15" x14ac:dyDescent="0.25">
      <c r="A256" s="99"/>
      <c r="B256" s="99"/>
      <c r="C256" s="99"/>
      <c r="D256" s="103"/>
      <c r="E256" s="99"/>
      <c r="F256" s="99"/>
      <c r="G256" s="99"/>
    </row>
    <row r="257" spans="1:7" s="60" customFormat="1" ht="15" x14ac:dyDescent="0.25">
      <c r="A257" s="99"/>
      <c r="B257" s="99"/>
      <c r="C257" s="99"/>
      <c r="D257" s="103"/>
      <c r="E257" s="99"/>
      <c r="F257" s="99"/>
      <c r="G257" s="99"/>
    </row>
    <row r="258" spans="1:7" s="60" customFormat="1" ht="15" x14ac:dyDescent="0.25">
      <c r="A258" s="99"/>
      <c r="B258" s="99"/>
      <c r="C258" s="99"/>
      <c r="D258" s="103"/>
      <c r="E258" s="99"/>
      <c r="F258" s="99"/>
      <c r="G258" s="99"/>
    </row>
    <row r="259" spans="1:7" s="60" customFormat="1" ht="15" x14ac:dyDescent="0.25">
      <c r="A259" s="99"/>
      <c r="B259" s="99"/>
      <c r="C259" s="99"/>
      <c r="D259" s="103"/>
      <c r="E259" s="99"/>
      <c r="F259" s="99"/>
      <c r="G259" s="99"/>
    </row>
    <row r="260" spans="1:7" s="60" customFormat="1" ht="15" x14ac:dyDescent="0.25">
      <c r="A260" s="99"/>
      <c r="B260" s="99"/>
      <c r="C260" s="99"/>
      <c r="D260" s="103"/>
      <c r="E260" s="99"/>
      <c r="F260" s="99"/>
      <c r="G260" s="99"/>
    </row>
    <row r="261" spans="1:7" s="60" customFormat="1" ht="15" x14ac:dyDescent="0.25">
      <c r="A261" s="99"/>
      <c r="B261" s="99"/>
      <c r="C261" s="99"/>
      <c r="D261" s="103"/>
      <c r="E261" s="99"/>
      <c r="F261" s="99"/>
      <c r="G261" s="99"/>
    </row>
    <row r="262" spans="1:7" s="60" customFormat="1" ht="15" x14ac:dyDescent="0.25">
      <c r="A262" s="99"/>
      <c r="B262" s="99"/>
      <c r="C262" s="99"/>
      <c r="D262" s="103"/>
      <c r="E262" s="99"/>
      <c r="F262" s="99"/>
      <c r="G262" s="99"/>
    </row>
    <row r="263" spans="1:7" s="60" customFormat="1" ht="15" x14ac:dyDescent="0.25">
      <c r="A263" s="99"/>
      <c r="B263" s="99"/>
      <c r="C263" s="99"/>
      <c r="D263" s="103"/>
      <c r="E263" s="99"/>
      <c r="F263" s="99"/>
      <c r="G263" s="99"/>
    </row>
    <row r="264" spans="1:7" s="60" customFormat="1" ht="15" x14ac:dyDescent="0.25">
      <c r="A264" s="99"/>
      <c r="B264" s="99"/>
      <c r="C264" s="99"/>
      <c r="D264" s="103"/>
      <c r="E264" s="99"/>
      <c r="F264" s="99"/>
      <c r="G264" s="99"/>
    </row>
    <row r="265" spans="1:7" s="60" customFormat="1" ht="15" x14ac:dyDescent="0.25">
      <c r="A265" s="99"/>
      <c r="B265" s="99"/>
      <c r="C265" s="99"/>
      <c r="D265" s="103"/>
      <c r="E265" s="99"/>
      <c r="F265" s="99"/>
      <c r="G265" s="99"/>
    </row>
    <row r="266" spans="1:7" s="60" customFormat="1" ht="15" x14ac:dyDescent="0.25">
      <c r="A266" s="99"/>
      <c r="B266" s="99"/>
      <c r="C266" s="99"/>
      <c r="D266" s="103"/>
      <c r="E266" s="99"/>
      <c r="F266" s="99"/>
      <c r="G266" s="99"/>
    </row>
    <row r="267" spans="1:7" s="60" customFormat="1" ht="15" x14ac:dyDescent="0.25">
      <c r="A267" s="99"/>
      <c r="B267" s="99"/>
      <c r="C267" s="99"/>
      <c r="D267" s="103"/>
      <c r="E267" s="99"/>
      <c r="F267" s="99"/>
      <c r="G267" s="99"/>
    </row>
    <row r="268" spans="1:7" s="60" customFormat="1" ht="15" x14ac:dyDescent="0.25">
      <c r="A268" s="99"/>
      <c r="B268" s="99"/>
      <c r="C268" s="99"/>
      <c r="D268" s="103"/>
      <c r="E268" s="99"/>
      <c r="F268" s="99"/>
      <c r="G268" s="99"/>
    </row>
    <row r="269" spans="1:7" s="60" customFormat="1" ht="15" x14ac:dyDescent="0.25">
      <c r="A269" s="99"/>
      <c r="B269" s="99"/>
      <c r="C269" s="99"/>
      <c r="D269" s="103"/>
      <c r="E269" s="99"/>
      <c r="F269" s="99"/>
      <c r="G269" s="99"/>
    </row>
    <row r="270" spans="1:7" s="60" customFormat="1" ht="15" x14ac:dyDescent="0.25">
      <c r="A270" s="99"/>
      <c r="B270" s="99"/>
      <c r="C270" s="99"/>
      <c r="D270" s="103"/>
      <c r="E270" s="99"/>
      <c r="F270" s="99"/>
      <c r="G270" s="99"/>
    </row>
    <row r="271" spans="1:7" s="60" customFormat="1" ht="15" x14ac:dyDescent="0.25">
      <c r="A271" s="99"/>
      <c r="B271" s="99"/>
      <c r="C271" s="99"/>
      <c r="D271" s="103"/>
      <c r="E271" s="99"/>
      <c r="F271" s="99"/>
      <c r="G271" s="99"/>
    </row>
    <row r="272" spans="1:7" s="60" customFormat="1" ht="15" x14ac:dyDescent="0.25">
      <c r="A272" s="99"/>
      <c r="B272" s="99"/>
      <c r="C272" s="99"/>
      <c r="D272" s="103"/>
      <c r="E272" s="99"/>
      <c r="F272" s="99"/>
      <c r="G272" s="99"/>
    </row>
    <row r="273" spans="1:7" s="60" customFormat="1" ht="15" x14ac:dyDescent="0.25">
      <c r="A273" s="99"/>
      <c r="B273" s="99"/>
      <c r="C273" s="99"/>
      <c r="D273" s="103"/>
      <c r="E273" s="99"/>
      <c r="F273" s="99"/>
      <c r="G273" s="99"/>
    </row>
    <row r="274" spans="1:7" s="60" customFormat="1" ht="15" x14ac:dyDescent="0.25">
      <c r="A274" s="99"/>
      <c r="B274" s="99"/>
      <c r="C274" s="99"/>
      <c r="D274" s="103"/>
      <c r="E274" s="99"/>
      <c r="F274" s="99"/>
      <c r="G274" s="99"/>
    </row>
    <row r="275" spans="1:7" s="60" customFormat="1" ht="15" x14ac:dyDescent="0.25">
      <c r="A275" s="99"/>
      <c r="B275" s="99"/>
      <c r="C275" s="99"/>
      <c r="D275" s="103"/>
      <c r="E275" s="99"/>
      <c r="F275" s="99"/>
      <c r="G275" s="99"/>
    </row>
    <row r="276" spans="1:7" s="60" customFormat="1" ht="15" x14ac:dyDescent="0.25">
      <c r="A276" s="99"/>
      <c r="B276" s="99"/>
      <c r="C276" s="99"/>
      <c r="D276" s="103"/>
      <c r="E276" s="99"/>
      <c r="F276" s="99"/>
      <c r="G276" s="99"/>
    </row>
    <row r="277" spans="1:7" s="60" customFormat="1" ht="15" x14ac:dyDescent="0.25">
      <c r="A277" s="99"/>
      <c r="B277" s="99"/>
      <c r="C277" s="99"/>
      <c r="D277" s="103"/>
      <c r="E277" s="99"/>
      <c r="F277" s="99"/>
      <c r="G277" s="99"/>
    </row>
    <row r="278" spans="1:7" s="60" customFormat="1" ht="15" x14ac:dyDescent="0.25">
      <c r="A278" s="99"/>
      <c r="B278" s="99"/>
      <c r="C278" s="99"/>
      <c r="D278" s="103"/>
      <c r="E278" s="99"/>
      <c r="F278" s="99"/>
      <c r="G278" s="99"/>
    </row>
    <row r="279" spans="1:7" s="60" customFormat="1" ht="15" x14ac:dyDescent="0.25">
      <c r="A279" s="99"/>
      <c r="B279" s="99"/>
      <c r="C279" s="99"/>
      <c r="D279" s="103"/>
      <c r="E279" s="99"/>
      <c r="F279" s="99"/>
      <c r="G279" s="99"/>
    </row>
    <row r="280" spans="1:7" s="60" customFormat="1" ht="15" x14ac:dyDescent="0.25">
      <c r="A280" s="99"/>
      <c r="B280" s="99"/>
      <c r="C280" s="99"/>
      <c r="D280" s="103"/>
      <c r="E280" s="99"/>
      <c r="F280" s="99"/>
      <c r="G280" s="99"/>
    </row>
    <row r="281" spans="1:7" s="60" customFormat="1" ht="15" x14ac:dyDescent="0.25">
      <c r="A281" s="99"/>
      <c r="B281" s="99"/>
      <c r="C281" s="99"/>
      <c r="D281" s="103"/>
      <c r="E281" s="99"/>
      <c r="F281" s="99"/>
      <c r="G281" s="99"/>
    </row>
    <row r="282" spans="1:7" s="60" customFormat="1" ht="15" x14ac:dyDescent="0.25">
      <c r="A282" s="99"/>
      <c r="B282" s="99"/>
      <c r="C282" s="99"/>
      <c r="D282" s="103"/>
      <c r="E282" s="99"/>
      <c r="F282" s="99"/>
      <c r="G282" s="99"/>
    </row>
    <row r="283" spans="1:7" s="60" customFormat="1" ht="15" x14ac:dyDescent="0.25">
      <c r="A283" s="99"/>
      <c r="B283" s="99"/>
      <c r="C283" s="99"/>
      <c r="D283" s="103"/>
      <c r="E283" s="99"/>
      <c r="F283" s="99"/>
      <c r="G283" s="99"/>
    </row>
    <row r="284" spans="1:7" s="60" customFormat="1" ht="15" x14ac:dyDescent="0.25">
      <c r="A284" s="99"/>
      <c r="B284" s="99"/>
      <c r="C284" s="99"/>
      <c r="D284" s="103"/>
      <c r="E284" s="99"/>
      <c r="F284" s="99"/>
      <c r="G284" s="99"/>
    </row>
    <row r="285" spans="1:7" s="60" customFormat="1" ht="15" x14ac:dyDescent="0.25">
      <c r="A285" s="99"/>
      <c r="B285" s="99"/>
      <c r="C285" s="99"/>
      <c r="D285" s="103"/>
      <c r="E285" s="99"/>
      <c r="F285" s="99"/>
      <c r="G285" s="99"/>
    </row>
    <row r="286" spans="1:7" s="60" customFormat="1" ht="15" x14ac:dyDescent="0.25">
      <c r="D286" s="83"/>
    </row>
    <row r="287" spans="1:7" s="60" customFormat="1" ht="15" x14ac:dyDescent="0.25">
      <c r="D287" s="83"/>
    </row>
  </sheetData>
  <mergeCells count="8">
    <mergeCell ref="F1:G1"/>
    <mergeCell ref="A29:D31"/>
    <mergeCell ref="F139:G139"/>
    <mergeCell ref="E193:F193"/>
    <mergeCell ref="A46:D48"/>
    <mergeCell ref="A68:D69"/>
    <mergeCell ref="A76:D78"/>
    <mergeCell ref="F85:G85"/>
  </mergeCells>
  <conditionalFormatting sqref="C16:C26 C38:C43">
    <cfRule type="containsText" dxfId="5" priority="11" operator="containsText" text="NO">
      <formula>NOT(ISERROR(SEARCH("NO",C16)))</formula>
    </cfRule>
  </conditionalFormatting>
  <conditionalFormatting sqref="B6">
    <cfRule type="duplicateValues" dxfId="4" priority="3"/>
    <cfRule type="duplicateValues" dxfId="3" priority="4"/>
    <cfRule type="duplicateValues" dxfId="2" priority="5"/>
  </conditionalFormatting>
  <conditionalFormatting sqref="B6">
    <cfRule type="duplicateValues" dxfId="1" priority="1"/>
    <cfRule type="duplicateValues" dxfId="0" priority="2"/>
  </conditionalFormatting>
  <pageMargins left="0.70866141732283472" right="0.70866141732283472" top="0.74803149606299213" bottom="0.74803149606299213" header="0.31496062992125984" footer="0.31496062992125984"/>
  <pageSetup scale="51" orientation="portrait" r:id="rId1"/>
  <headerFooter>
    <oddFooter>&amp;RF.OLIVA</oddFooter>
  </headerFooter>
  <rowBreaks count="4" manualBreakCount="4">
    <brk id="83" max="7" man="1"/>
    <brk id="136" max="7" man="1"/>
    <brk id="190" max="7" man="1"/>
    <brk id="238" max="7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GPON</vt:lpstr>
      <vt:lpstr>CALTEC GPON</vt:lpstr>
      <vt:lpstr>TOOLS GPON</vt:lpstr>
      <vt:lpstr>VUC GPON</vt:lpstr>
      <vt:lpstr>'CALTEC GPON'!Área_de_impresión</vt:lpstr>
      <vt:lpstr>'TOOLS GPON'!Área_de_impresión</vt:lpstr>
      <vt:lpstr>'VUC GPON'!Área_de_impresión</vt:lpstr>
      <vt:lpstr>GPON!TABLA_ORIGEN</vt:lpstr>
      <vt:lpstr>TABLA_ORIGEN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NACEL3NEW5480</dc:creator>
  <cp:lastModifiedBy>Josue Lima</cp:lastModifiedBy>
  <cp:lastPrinted>2022-07-08T18:32:46Z</cp:lastPrinted>
  <dcterms:created xsi:type="dcterms:W3CDTF">2018-03-23T00:56:22Z</dcterms:created>
  <dcterms:modified xsi:type="dcterms:W3CDTF">2023-07-11T00:33:34Z</dcterms:modified>
</cp:coreProperties>
</file>