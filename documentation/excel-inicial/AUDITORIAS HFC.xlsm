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ma1\Downloads\ciccsa\"/>
    </mc:Choice>
  </mc:AlternateContent>
  <xr:revisionPtr revIDLastSave="0" documentId="13_ncr:1_{7D7895C9-FF2C-41D1-A9AB-522CA87066CF}" xr6:coauthVersionLast="47" xr6:coauthVersionMax="47" xr10:uidLastSave="{00000000-0000-0000-0000-000000000000}"/>
  <bookViews>
    <workbookView xWindow="-120" yWindow="-120" windowWidth="29040" windowHeight="15840" tabRatio="629" xr2:uid="{00000000-000D-0000-FFFF-FFFF00000000}"/>
  </bookViews>
  <sheets>
    <sheet name="HFC" sheetId="2" r:id="rId1"/>
    <sheet name="CALTEC HFC" sheetId="19" r:id="rId2"/>
    <sheet name="VUC HFC" sheetId="20" r:id="rId3"/>
    <sheet name="TOOLS HFC" sheetId="14" r:id="rId4"/>
  </sheets>
  <externalReferences>
    <externalReference r:id="rId5"/>
  </externalReferences>
  <definedNames>
    <definedName name="_xlnm._FilterDatabase" localSheetId="0" hidden="1">HFC!$A$2:$CL$82</definedName>
    <definedName name="_xlnm.Print_Area" localSheetId="1">'CALTEC HFC'!$A$1:$G$254</definedName>
    <definedName name="_xlnm.Print_Area" localSheetId="3">'TOOLS HFC'!$A$1:$H$244</definedName>
    <definedName name="_xlnm.Print_Area" localSheetId="2">'VUC HFC'!$A$1:$H$285</definedName>
    <definedName name="TABLA_ORIGEN">HFC!$A:$CI</definedName>
  </definedNames>
  <calcPr calcId="181029"/>
</workbook>
</file>

<file path=xl/calcChain.xml><?xml version="1.0" encoding="utf-8"?>
<calcChain xmlns="http://schemas.openxmlformats.org/spreadsheetml/2006/main">
  <c r="B25" i="19" l="1"/>
  <c r="B15" i="19"/>
  <c r="CA83" i="2" l="1"/>
  <c r="CB83" i="2"/>
  <c r="CC83" i="2"/>
  <c r="CD83" i="2"/>
  <c r="CE83" i="2"/>
  <c r="CA84" i="2"/>
  <c r="CB84" i="2"/>
  <c r="CC84" i="2"/>
  <c r="CD84" i="2"/>
  <c r="CE84" i="2"/>
  <c r="CA85" i="2"/>
  <c r="CB85" i="2"/>
  <c r="CC85" i="2"/>
  <c r="CD85" i="2"/>
  <c r="CE85" i="2"/>
  <c r="CA86" i="2"/>
  <c r="CB86" i="2"/>
  <c r="CC86" i="2"/>
  <c r="CD86" i="2"/>
  <c r="CE86" i="2"/>
  <c r="CA87" i="2"/>
  <c r="CB87" i="2"/>
  <c r="CC87" i="2"/>
  <c r="CD87" i="2"/>
  <c r="CE87" i="2"/>
  <c r="CA88" i="2"/>
  <c r="CB88" i="2"/>
  <c r="CC88" i="2"/>
  <c r="CD88" i="2"/>
  <c r="CE88" i="2"/>
  <c r="CA89" i="2"/>
  <c r="CB89" i="2"/>
  <c r="CC89" i="2"/>
  <c r="CD89" i="2"/>
  <c r="CE89" i="2"/>
  <c r="CA90" i="2"/>
  <c r="CB90" i="2"/>
  <c r="CC90" i="2"/>
  <c r="CD90" i="2"/>
  <c r="CE90" i="2"/>
  <c r="CA91" i="2"/>
  <c r="CB91" i="2"/>
  <c r="CC91" i="2"/>
  <c r="CD91" i="2"/>
  <c r="CE91" i="2"/>
  <c r="CA92" i="2"/>
  <c r="CB92" i="2"/>
  <c r="CC92" i="2"/>
  <c r="CD92" i="2"/>
  <c r="CE92" i="2"/>
  <c r="CA93" i="2"/>
  <c r="CB93" i="2"/>
  <c r="CC93" i="2"/>
  <c r="CD93" i="2"/>
  <c r="CE93" i="2"/>
  <c r="CA94" i="2"/>
  <c r="CB94" i="2"/>
  <c r="CC94" i="2"/>
  <c r="CD94" i="2"/>
  <c r="CE94" i="2"/>
  <c r="CA95" i="2"/>
  <c r="CB95" i="2"/>
  <c r="CC95" i="2"/>
  <c r="CD95" i="2"/>
  <c r="CE95" i="2"/>
  <c r="CA96" i="2"/>
  <c r="CB96" i="2"/>
  <c r="CC96" i="2"/>
  <c r="CD96" i="2"/>
  <c r="CE96" i="2"/>
  <c r="CA97" i="2"/>
  <c r="CB97" i="2"/>
  <c r="CC97" i="2"/>
  <c r="CD97" i="2"/>
  <c r="CE97" i="2"/>
  <c r="CA98" i="2"/>
  <c r="CB98" i="2"/>
  <c r="CC98" i="2"/>
  <c r="CD98" i="2"/>
  <c r="CE98" i="2"/>
  <c r="CA99" i="2"/>
  <c r="CB99" i="2"/>
  <c r="CC99" i="2"/>
  <c r="CD99" i="2"/>
  <c r="CE99" i="2"/>
  <c r="CA100" i="2"/>
  <c r="CB100" i="2"/>
  <c r="CC100" i="2"/>
  <c r="CD100" i="2"/>
  <c r="CE100" i="2"/>
  <c r="CA101" i="2"/>
  <c r="CB101" i="2"/>
  <c r="CC101" i="2"/>
  <c r="CD101" i="2"/>
  <c r="CE101" i="2"/>
  <c r="CA102" i="2"/>
  <c r="CB102" i="2"/>
  <c r="CC102" i="2"/>
  <c r="CD102" i="2"/>
  <c r="CE102" i="2"/>
  <c r="CA103" i="2"/>
  <c r="CB103" i="2"/>
  <c r="CC103" i="2"/>
  <c r="CD103" i="2"/>
  <c r="CE103" i="2"/>
  <c r="CA104" i="2"/>
  <c r="CB104" i="2"/>
  <c r="CC104" i="2"/>
  <c r="CD104" i="2"/>
  <c r="CE104" i="2"/>
  <c r="CA105" i="2"/>
  <c r="CB105" i="2"/>
  <c r="CC105" i="2"/>
  <c r="CD105" i="2"/>
  <c r="CE105" i="2"/>
  <c r="CA106" i="2"/>
  <c r="CB106" i="2"/>
  <c r="CC106" i="2"/>
  <c r="CD106" i="2"/>
  <c r="CE106" i="2"/>
  <c r="CA107" i="2"/>
  <c r="CB107" i="2"/>
  <c r="CC107" i="2"/>
  <c r="CD107" i="2"/>
  <c r="CE107" i="2"/>
  <c r="CA108" i="2"/>
  <c r="CB108" i="2"/>
  <c r="CC108" i="2"/>
  <c r="CD108" i="2"/>
  <c r="CE108" i="2"/>
  <c r="CA109" i="2"/>
  <c r="CB109" i="2"/>
  <c r="CC109" i="2"/>
  <c r="CD109" i="2"/>
  <c r="CE109" i="2"/>
  <c r="CA110" i="2"/>
  <c r="CB110" i="2"/>
  <c r="CC110" i="2"/>
  <c r="CD110" i="2"/>
  <c r="CE110" i="2"/>
  <c r="CA111" i="2"/>
  <c r="CB111" i="2"/>
  <c r="CC111" i="2"/>
  <c r="CD111" i="2"/>
  <c r="CE111" i="2"/>
  <c r="CA112" i="2"/>
  <c r="CB112" i="2"/>
  <c r="CC112" i="2"/>
  <c r="CD112" i="2"/>
  <c r="CE112" i="2"/>
  <c r="CA113" i="2"/>
  <c r="CB113" i="2"/>
  <c r="CC113" i="2"/>
  <c r="CD113" i="2"/>
  <c r="CE113" i="2"/>
  <c r="CA61" i="2" l="1"/>
  <c r="CB61" i="2"/>
  <c r="CC61" i="2"/>
  <c r="CD61" i="2"/>
  <c r="CE61" i="2"/>
  <c r="CA62" i="2"/>
  <c r="CB62" i="2"/>
  <c r="CC62" i="2"/>
  <c r="CD62" i="2"/>
  <c r="CE62" i="2"/>
  <c r="CA63" i="2"/>
  <c r="CB63" i="2"/>
  <c r="CC63" i="2"/>
  <c r="CD63" i="2"/>
  <c r="CE63" i="2"/>
  <c r="CA64" i="2"/>
  <c r="CB64" i="2"/>
  <c r="CC64" i="2"/>
  <c r="CD64" i="2"/>
  <c r="CE64" i="2"/>
  <c r="CA65" i="2"/>
  <c r="CB65" i="2"/>
  <c r="CC65" i="2"/>
  <c r="CD65" i="2"/>
  <c r="CE65" i="2"/>
  <c r="CA66" i="2"/>
  <c r="CB66" i="2"/>
  <c r="CC66" i="2"/>
  <c r="CD66" i="2"/>
  <c r="CE66" i="2"/>
  <c r="CA67" i="2"/>
  <c r="CB67" i="2"/>
  <c r="CC67" i="2"/>
  <c r="CD67" i="2"/>
  <c r="CE67" i="2"/>
  <c r="CA68" i="2"/>
  <c r="CB68" i="2"/>
  <c r="CC68" i="2"/>
  <c r="CD68" i="2"/>
  <c r="CE68" i="2"/>
  <c r="CA69" i="2"/>
  <c r="CB69" i="2"/>
  <c r="CC69" i="2"/>
  <c r="CD69" i="2"/>
  <c r="CE69" i="2"/>
  <c r="CA70" i="2"/>
  <c r="CB70" i="2"/>
  <c r="CC70" i="2"/>
  <c r="CD70" i="2"/>
  <c r="CE70" i="2"/>
  <c r="CA71" i="2"/>
  <c r="CB71" i="2"/>
  <c r="CC71" i="2"/>
  <c r="CD71" i="2"/>
  <c r="CE71" i="2"/>
  <c r="CA72" i="2"/>
  <c r="CB72" i="2"/>
  <c r="CC72" i="2"/>
  <c r="CD72" i="2"/>
  <c r="CE72" i="2"/>
  <c r="CA73" i="2"/>
  <c r="CB73" i="2"/>
  <c r="CC73" i="2"/>
  <c r="CD73" i="2"/>
  <c r="CE73" i="2"/>
  <c r="CA74" i="2"/>
  <c r="CB74" i="2"/>
  <c r="CC74" i="2"/>
  <c r="CD74" i="2"/>
  <c r="CE74" i="2"/>
  <c r="CA75" i="2"/>
  <c r="CB75" i="2"/>
  <c r="CC75" i="2"/>
  <c r="CD75" i="2"/>
  <c r="CE75" i="2"/>
  <c r="CA76" i="2"/>
  <c r="CB76" i="2"/>
  <c r="CC76" i="2"/>
  <c r="CD76" i="2"/>
  <c r="CE76" i="2"/>
  <c r="CA77" i="2"/>
  <c r="CB77" i="2"/>
  <c r="CC77" i="2"/>
  <c r="CD77" i="2"/>
  <c r="CE77" i="2"/>
  <c r="CA78" i="2"/>
  <c r="CB78" i="2"/>
  <c r="CC78" i="2"/>
  <c r="CD78" i="2"/>
  <c r="CE78" i="2"/>
  <c r="CA79" i="2"/>
  <c r="CB79" i="2"/>
  <c r="CC79" i="2"/>
  <c r="CD79" i="2"/>
  <c r="CE79" i="2"/>
  <c r="CA80" i="2"/>
  <c r="CB80" i="2"/>
  <c r="CC80" i="2"/>
  <c r="CD80" i="2"/>
  <c r="CE80" i="2"/>
  <c r="CA81" i="2"/>
  <c r="CB81" i="2"/>
  <c r="CC81" i="2"/>
  <c r="CD81" i="2"/>
  <c r="CE81" i="2"/>
  <c r="CA82" i="2"/>
  <c r="CB82" i="2"/>
  <c r="CC82" i="2"/>
  <c r="CD82" i="2"/>
  <c r="CE82" i="2"/>
  <c r="CA5" i="2"/>
  <c r="CB5" i="2"/>
  <c r="CC5" i="2"/>
  <c r="CD5" i="2"/>
  <c r="CE5" i="2"/>
  <c r="CA6" i="2"/>
  <c r="CB6" i="2"/>
  <c r="CC6" i="2"/>
  <c r="CD6" i="2"/>
  <c r="CE6" i="2"/>
  <c r="CA7" i="2"/>
  <c r="CB7" i="2"/>
  <c r="CC7" i="2"/>
  <c r="CD7" i="2"/>
  <c r="CE7" i="2"/>
  <c r="CA8" i="2"/>
  <c r="CB8" i="2"/>
  <c r="CC8" i="2"/>
  <c r="CD8" i="2"/>
  <c r="CE8" i="2"/>
  <c r="CA9" i="2"/>
  <c r="CB9" i="2"/>
  <c r="CC9" i="2"/>
  <c r="CD9" i="2"/>
  <c r="CE9" i="2"/>
  <c r="CA10" i="2"/>
  <c r="CB10" i="2"/>
  <c r="CC10" i="2"/>
  <c r="CD10" i="2"/>
  <c r="CE10" i="2"/>
  <c r="CA11" i="2"/>
  <c r="CB11" i="2"/>
  <c r="CC11" i="2"/>
  <c r="CD11" i="2"/>
  <c r="CE11" i="2"/>
  <c r="CA12" i="2"/>
  <c r="CB12" i="2"/>
  <c r="CC12" i="2"/>
  <c r="CD12" i="2"/>
  <c r="CE12" i="2"/>
  <c r="CA13" i="2"/>
  <c r="CB13" i="2"/>
  <c r="CC13" i="2"/>
  <c r="CD13" i="2"/>
  <c r="CE13" i="2"/>
  <c r="CA14" i="2"/>
  <c r="CB14" i="2"/>
  <c r="CC14" i="2"/>
  <c r="CD14" i="2"/>
  <c r="CE14" i="2"/>
  <c r="CA15" i="2"/>
  <c r="CB15" i="2"/>
  <c r="CC15" i="2"/>
  <c r="CD15" i="2"/>
  <c r="CE15" i="2"/>
  <c r="CA16" i="2"/>
  <c r="CB16" i="2"/>
  <c r="CC16" i="2"/>
  <c r="CD16" i="2"/>
  <c r="CE16" i="2"/>
  <c r="CA17" i="2"/>
  <c r="CB17" i="2"/>
  <c r="CC17" i="2"/>
  <c r="CD17" i="2"/>
  <c r="CE17" i="2"/>
  <c r="CA18" i="2"/>
  <c r="CB18" i="2"/>
  <c r="CC18" i="2"/>
  <c r="CD18" i="2"/>
  <c r="CE18" i="2"/>
  <c r="CA19" i="2"/>
  <c r="CB19" i="2"/>
  <c r="CC19" i="2"/>
  <c r="CD19" i="2"/>
  <c r="CE19" i="2"/>
  <c r="CA20" i="2"/>
  <c r="CB20" i="2"/>
  <c r="CC20" i="2"/>
  <c r="CD20" i="2"/>
  <c r="CE20" i="2"/>
  <c r="CA21" i="2"/>
  <c r="CB21" i="2"/>
  <c r="CC21" i="2"/>
  <c r="CD21" i="2"/>
  <c r="CE21" i="2"/>
  <c r="CA22" i="2"/>
  <c r="CB22" i="2"/>
  <c r="CC22" i="2"/>
  <c r="CD22" i="2"/>
  <c r="CE22" i="2"/>
  <c r="CA23" i="2"/>
  <c r="CB23" i="2"/>
  <c r="CC23" i="2"/>
  <c r="CD23" i="2"/>
  <c r="CE23" i="2"/>
  <c r="CA24" i="2"/>
  <c r="CB24" i="2"/>
  <c r="CC24" i="2"/>
  <c r="CD24" i="2"/>
  <c r="CE24" i="2"/>
  <c r="CA25" i="2"/>
  <c r="CB25" i="2"/>
  <c r="CC25" i="2"/>
  <c r="CD25" i="2"/>
  <c r="CE25" i="2"/>
  <c r="CA26" i="2"/>
  <c r="CB26" i="2"/>
  <c r="CC26" i="2"/>
  <c r="CD26" i="2"/>
  <c r="CE26" i="2"/>
  <c r="CA27" i="2"/>
  <c r="CB27" i="2"/>
  <c r="CC27" i="2"/>
  <c r="CD27" i="2"/>
  <c r="CE27" i="2"/>
  <c r="CA28" i="2"/>
  <c r="CB28" i="2"/>
  <c r="CC28" i="2"/>
  <c r="CD28" i="2"/>
  <c r="CE28" i="2"/>
  <c r="CA29" i="2"/>
  <c r="CB29" i="2"/>
  <c r="CC29" i="2"/>
  <c r="CD29" i="2"/>
  <c r="CE29" i="2"/>
  <c r="CA30" i="2"/>
  <c r="CB30" i="2"/>
  <c r="CC30" i="2"/>
  <c r="CD30" i="2"/>
  <c r="CE30" i="2"/>
  <c r="CA31" i="2"/>
  <c r="CB31" i="2"/>
  <c r="CC31" i="2"/>
  <c r="CD31" i="2"/>
  <c r="CE31" i="2"/>
  <c r="CA32" i="2"/>
  <c r="CB32" i="2"/>
  <c r="CC32" i="2"/>
  <c r="CD32" i="2"/>
  <c r="CE32" i="2"/>
  <c r="CA33" i="2"/>
  <c r="CB33" i="2"/>
  <c r="CC33" i="2"/>
  <c r="CD33" i="2"/>
  <c r="CE33" i="2"/>
  <c r="CA34" i="2"/>
  <c r="CB34" i="2"/>
  <c r="CC34" i="2"/>
  <c r="CD34" i="2"/>
  <c r="CE34" i="2"/>
  <c r="CA35" i="2"/>
  <c r="CB35" i="2"/>
  <c r="CC35" i="2"/>
  <c r="CD35" i="2"/>
  <c r="CE35" i="2"/>
  <c r="CA36" i="2"/>
  <c r="CB36" i="2"/>
  <c r="CC36" i="2"/>
  <c r="CD36" i="2"/>
  <c r="CE36" i="2"/>
  <c r="CA37" i="2"/>
  <c r="CB37" i="2"/>
  <c r="CC37" i="2"/>
  <c r="CD37" i="2"/>
  <c r="CE37" i="2"/>
  <c r="CA38" i="2"/>
  <c r="CB38" i="2"/>
  <c r="CC38" i="2"/>
  <c r="CD38" i="2"/>
  <c r="CE38" i="2"/>
  <c r="CA39" i="2"/>
  <c r="CB39" i="2"/>
  <c r="CC39" i="2"/>
  <c r="CD39" i="2"/>
  <c r="CE39" i="2"/>
  <c r="CA40" i="2"/>
  <c r="CB40" i="2"/>
  <c r="CC40" i="2"/>
  <c r="CD40" i="2"/>
  <c r="CE40" i="2"/>
  <c r="CA41" i="2"/>
  <c r="CB41" i="2"/>
  <c r="CC41" i="2"/>
  <c r="CD41" i="2"/>
  <c r="CE41" i="2"/>
  <c r="CA42" i="2"/>
  <c r="CB42" i="2"/>
  <c r="CC42" i="2"/>
  <c r="CD42" i="2"/>
  <c r="CE42" i="2"/>
  <c r="CA43" i="2"/>
  <c r="CB43" i="2"/>
  <c r="CC43" i="2"/>
  <c r="CD43" i="2"/>
  <c r="CE43" i="2"/>
  <c r="CA44" i="2"/>
  <c r="CB44" i="2"/>
  <c r="CC44" i="2"/>
  <c r="CD44" i="2"/>
  <c r="CE44" i="2"/>
  <c r="CA45" i="2"/>
  <c r="CB45" i="2"/>
  <c r="CC45" i="2"/>
  <c r="CD45" i="2"/>
  <c r="CE45" i="2"/>
  <c r="CA46" i="2"/>
  <c r="CB46" i="2"/>
  <c r="CC46" i="2"/>
  <c r="CD46" i="2"/>
  <c r="CE46" i="2"/>
  <c r="CA47" i="2"/>
  <c r="CB47" i="2"/>
  <c r="CC47" i="2"/>
  <c r="CD47" i="2"/>
  <c r="CE47" i="2"/>
  <c r="CA48" i="2"/>
  <c r="CB48" i="2"/>
  <c r="CC48" i="2"/>
  <c r="CD48" i="2"/>
  <c r="CE48" i="2"/>
  <c r="CA49" i="2"/>
  <c r="CB49" i="2"/>
  <c r="CC49" i="2"/>
  <c r="CD49" i="2"/>
  <c r="CE49" i="2"/>
  <c r="CA50" i="2"/>
  <c r="CB50" i="2"/>
  <c r="CC50" i="2"/>
  <c r="CD50" i="2"/>
  <c r="CE50" i="2"/>
  <c r="CA51" i="2"/>
  <c r="CB51" i="2"/>
  <c r="CC51" i="2"/>
  <c r="CD51" i="2"/>
  <c r="CE51" i="2"/>
  <c r="CA52" i="2"/>
  <c r="CB52" i="2"/>
  <c r="CC52" i="2"/>
  <c r="CD52" i="2"/>
  <c r="CE52" i="2"/>
  <c r="CA53" i="2"/>
  <c r="CB53" i="2"/>
  <c r="CC53" i="2"/>
  <c r="CD53" i="2"/>
  <c r="CE53" i="2"/>
  <c r="CA54" i="2"/>
  <c r="CB54" i="2"/>
  <c r="CC54" i="2"/>
  <c r="CD54" i="2"/>
  <c r="CE54" i="2"/>
  <c r="CA55" i="2"/>
  <c r="CB55" i="2"/>
  <c r="CC55" i="2"/>
  <c r="CD55" i="2"/>
  <c r="CE55" i="2"/>
  <c r="CA56" i="2"/>
  <c r="CB56" i="2"/>
  <c r="CC56" i="2"/>
  <c r="CD56" i="2"/>
  <c r="CE56" i="2"/>
  <c r="CA57" i="2"/>
  <c r="CB57" i="2"/>
  <c r="CC57" i="2"/>
  <c r="CD57" i="2"/>
  <c r="CE57" i="2"/>
  <c r="CA58" i="2"/>
  <c r="CB58" i="2"/>
  <c r="CC58" i="2"/>
  <c r="CD58" i="2"/>
  <c r="CE58" i="2"/>
  <c r="CA59" i="2"/>
  <c r="CB59" i="2"/>
  <c r="CC59" i="2"/>
  <c r="CD59" i="2"/>
  <c r="CE59" i="2"/>
  <c r="CA60" i="2"/>
  <c r="CB60" i="2"/>
  <c r="CC60" i="2"/>
  <c r="CD60" i="2"/>
  <c r="CE60" i="2"/>
  <c r="CA4" i="2" l="1"/>
  <c r="CE4" i="2"/>
  <c r="CD4" i="2"/>
  <c r="CC4" i="2"/>
  <c r="CB4" i="2"/>
  <c r="CA3" i="2"/>
  <c r="CB3" i="2"/>
  <c r="CC3" i="2"/>
  <c r="CD3" i="2"/>
  <c r="CE3" i="2"/>
  <c r="B13" i="14" l="1"/>
  <c r="B7" i="14"/>
  <c r="D74" i="20" l="1"/>
  <c r="B65" i="20"/>
  <c r="B44" i="20"/>
  <c r="B27" i="20"/>
  <c r="C16" i="20" l="1"/>
  <c r="D16" i="20" s="1"/>
  <c r="C20" i="20"/>
  <c r="D20" i="20" s="1"/>
  <c r="C24" i="20"/>
  <c r="D24" i="20" s="1"/>
  <c r="C17" i="20"/>
  <c r="D17" i="20" s="1"/>
  <c r="C21" i="20"/>
  <c r="D21" i="20" s="1"/>
  <c r="C25" i="20"/>
  <c r="D25" i="20" s="1"/>
  <c r="C18" i="20"/>
  <c r="D18" i="20" s="1"/>
  <c r="C22" i="20"/>
  <c r="D22" i="20" s="1"/>
  <c r="C26" i="20"/>
  <c r="D26" i="20" s="1"/>
  <c r="C19" i="20"/>
  <c r="D19" i="20" s="1"/>
  <c r="C23" i="20"/>
  <c r="D23" i="20" s="1"/>
  <c r="C32" i="14"/>
  <c r="C28" i="14"/>
  <c r="C24" i="14"/>
  <c r="C20" i="14"/>
  <c r="B12" i="14"/>
  <c r="B204" i="14"/>
  <c r="E204" i="14" s="1"/>
  <c r="C41" i="20"/>
  <c r="D41" i="20" s="1"/>
  <c r="B89" i="20"/>
  <c r="F89" i="20" s="1"/>
  <c r="B196" i="20"/>
  <c r="E196" i="20" s="1"/>
  <c r="C69" i="20"/>
  <c r="C68" i="20"/>
  <c r="D51" i="19"/>
  <c r="C50" i="19"/>
  <c r="B12" i="20"/>
  <c r="B3" i="20"/>
  <c r="C31" i="14"/>
  <c r="C27" i="14"/>
  <c r="C23" i="14"/>
  <c r="C19" i="14"/>
  <c r="B5" i="14"/>
  <c r="B155" i="14"/>
  <c r="E155" i="14" s="1"/>
  <c r="B48" i="14"/>
  <c r="F48" i="14" s="1"/>
  <c r="C40" i="20"/>
  <c r="D40" i="20" s="1"/>
  <c r="B145" i="20"/>
  <c r="F145" i="20" s="1"/>
  <c r="B212" i="19"/>
  <c r="E212" i="19" s="1"/>
  <c r="B69" i="20"/>
  <c r="B68" i="20"/>
  <c r="C51" i="19"/>
  <c r="B50" i="19"/>
  <c r="B11" i="20"/>
  <c r="E3" i="19"/>
  <c r="C30" i="14"/>
  <c r="C26" i="14"/>
  <c r="C22" i="14"/>
  <c r="C18" i="14"/>
  <c r="B3" i="14"/>
  <c r="C43" i="20"/>
  <c r="D43" i="20" s="1"/>
  <c r="C39" i="20"/>
  <c r="D39" i="20" s="1"/>
  <c r="A68" i="20"/>
  <c r="A69" i="20"/>
  <c r="B163" i="19"/>
  <c r="E163" i="19" s="1"/>
  <c r="B51" i="19"/>
  <c r="D49" i="19"/>
  <c r="B7" i="20"/>
  <c r="D3" i="20"/>
  <c r="C29" i="14"/>
  <c r="C25" i="14"/>
  <c r="C21" i="14"/>
  <c r="C17" i="14"/>
  <c r="D3" i="14"/>
  <c r="B104" i="14"/>
  <c r="F104" i="14" s="1"/>
  <c r="C42" i="20"/>
  <c r="D42" i="20" s="1"/>
  <c r="C38" i="20"/>
  <c r="D38" i="20" s="1"/>
  <c r="B245" i="20"/>
  <c r="E245" i="20" s="1"/>
  <c r="D69" i="20"/>
  <c r="D68" i="20"/>
  <c r="B49" i="19"/>
  <c r="D50" i="19"/>
  <c r="C49" i="19"/>
  <c r="B5" i="20"/>
  <c r="B113" i="19"/>
  <c r="E113" i="19" s="1"/>
  <c r="B64" i="19"/>
  <c r="D64" i="19" s="1"/>
  <c r="E46" i="19"/>
  <c r="F46" i="19" s="1"/>
  <c r="E47" i="19"/>
  <c r="F47" i="19" s="1"/>
  <c r="E45" i="19"/>
  <c r="F45" i="19" s="1"/>
  <c r="E44" i="19"/>
  <c r="F44" i="19" s="1"/>
  <c r="E43" i="19"/>
  <c r="F43" i="19" s="1"/>
  <c r="E42" i="19"/>
  <c r="F42" i="19" s="1"/>
  <c r="E41" i="19"/>
  <c r="F41" i="19" s="1"/>
  <c r="E40" i="19"/>
  <c r="F40" i="19" s="1"/>
  <c r="E39" i="19"/>
  <c r="F39" i="19" s="1"/>
  <c r="E38" i="19"/>
  <c r="F38" i="19" s="1"/>
  <c r="E37" i="19"/>
  <c r="F37" i="19" s="1"/>
  <c r="E36" i="19"/>
  <c r="F36" i="19" s="1"/>
  <c r="E35" i="19"/>
  <c r="F35" i="19" s="1"/>
  <c r="E33" i="19"/>
  <c r="E31" i="19"/>
  <c r="F31" i="19" s="1"/>
  <c r="E30" i="19"/>
  <c r="F30" i="19" s="1"/>
  <c r="E29" i="19"/>
  <c r="F29" i="19" s="1"/>
  <c r="E28" i="19"/>
  <c r="F28" i="19" s="1"/>
  <c r="E27" i="19"/>
  <c r="F27" i="19" s="1"/>
  <c r="E26" i="19"/>
  <c r="F26" i="19" s="1"/>
  <c r="E25" i="19"/>
  <c r="F25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C10" i="19"/>
  <c r="C9" i="19"/>
  <c r="B7" i="19"/>
  <c r="B5" i="19"/>
  <c r="B3" i="19"/>
  <c r="D44" i="20" l="1"/>
  <c r="D27" i="20"/>
  <c r="F51" i="19"/>
  <c r="D17" i="14" l="1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ANTONIO GARCIA CARRERA</author>
  </authors>
  <commentList>
    <comment ref="C3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FRANCIS OLIVA:</t>
        </r>
        <r>
          <rPr>
            <sz val="9"/>
            <color indexed="81"/>
            <rFont val="Tahoma"/>
            <family val="2"/>
          </rPr>
          <t xml:space="preserve">
Negro s/m cableado externo o ductos
Blanco cableado interno
</t>
        </r>
      </text>
    </comment>
  </commentList>
</comments>
</file>

<file path=xl/sharedStrings.xml><?xml version="1.0" encoding="utf-8"?>
<sst xmlns="http://schemas.openxmlformats.org/spreadsheetml/2006/main" count="443" uniqueCount="177">
  <si>
    <t>Área operativa</t>
  </si>
  <si>
    <t>Nombre de técnico</t>
  </si>
  <si>
    <t>Nombre del supervisor</t>
  </si>
  <si>
    <t>Orden de servicio</t>
  </si>
  <si>
    <t>Ubicación del Tap RG-500 más cerca del cliente por distancia</t>
  </si>
  <si>
    <t>Identificación de la red</t>
  </si>
  <si>
    <t>cable pasa por chapa</t>
  </si>
  <si>
    <t>utilizo cincho ID e identifico</t>
  </si>
  <si>
    <t>Curvatura de reserva adecuada</t>
  </si>
  <si>
    <t>protectores de humedad</t>
  </si>
  <si>
    <t>Torqueado en norma</t>
  </si>
  <si>
    <t>Utilizo filtro pasa alto / ventana:.</t>
  </si>
  <si>
    <t>Correcta elaboración de conector</t>
  </si>
  <si>
    <t>Uso de abrazaderas de remate (aplica red aérea)*</t>
  </si>
  <si>
    <t>Instalación de cable correcto (con mensajero/sin mensajero)</t>
  </si>
  <si>
    <t>Uso de conector "nuevo", normado por Claro</t>
  </si>
  <si>
    <t>Utilizo remates y clip tipo S</t>
  </si>
  <si>
    <t>Ausencia de rozamiento con otros elementos</t>
  </si>
  <si>
    <t>Tensado de cables y uso de postes</t>
  </si>
  <si>
    <t>CLIENTE PERMITE ACCESO</t>
  </si>
  <si>
    <t>Se cambio el cableado</t>
  </si>
  <si>
    <t>Se utilizo el cable correcto</t>
  </si>
  <si>
    <t>Estética en la instalación del cableado</t>
  </si>
  <si>
    <t>Se instalaron protectores contra picos (HR y CPE)</t>
  </si>
  <si>
    <t>Torqueado de accesorios de distribución</t>
  </si>
  <si>
    <t>Uso adecuado de grapas</t>
  </si>
  <si>
    <t>Uso correcto de divisores de señal, aplica para más de un TV*</t>
  </si>
  <si>
    <t>Correcta aplicación de conectores</t>
  </si>
  <si>
    <t>Conexión adecuada del STB</t>
  </si>
  <si>
    <t>Según OS se cumplió con la cantidad de televisores instalados</t>
  </si>
  <si>
    <t>Según la orden de servicio se dejaron los equipos solicitados (repetidor wifi, DVR)</t>
  </si>
  <si>
    <t>Conexión y configuración adecuada de cable modem *</t>
  </si>
  <si>
    <t>El cable módem tiene niveles correctos</t>
  </si>
  <si>
    <t>Evidencia fotográfica</t>
  </si>
  <si>
    <t>Segundo Archivo</t>
  </si>
  <si>
    <t>Peladora RG-6</t>
  </si>
  <si>
    <t>Ponchadora RG-6</t>
  </si>
  <si>
    <t>Equipo de medición</t>
  </si>
  <si>
    <t>Desarmadores … DESTORNILLADORES</t>
  </si>
  <si>
    <t>Escalera</t>
  </si>
  <si>
    <t>Lazo (para asegurar escalera a poste)</t>
  </si>
  <si>
    <t>Taladro tipo industrial de 1/2"</t>
  </si>
  <si>
    <t>Extensión eléctrica de 15 metros</t>
  </si>
  <si>
    <t>Guía de acero de 30 metros</t>
  </si>
  <si>
    <t>Broca pasa muros 12 pulgadas * 1/2 o 3/8</t>
  </si>
  <si>
    <t>Llave quita trampas</t>
  </si>
  <si>
    <t>Herramienta Torquimetro</t>
  </si>
  <si>
    <t>Navaja curva</t>
  </si>
  <si>
    <t>Corta alambre de 8"</t>
  </si>
  <si>
    <t>Cadena con candados (asegurar escalera a vehículo)</t>
  </si>
  <si>
    <t>Inversor de voltaje de 1,600 watts</t>
  </si>
  <si>
    <t>BOTAS</t>
  </si>
  <si>
    <t>SI</t>
  </si>
  <si>
    <t>Herramienta</t>
  </si>
  <si>
    <t xml:space="preserve">Calidad Tecnica </t>
  </si>
  <si>
    <t>Marca temporal</t>
  </si>
  <si>
    <t>Puntuación</t>
  </si>
  <si>
    <t>FECHA</t>
  </si>
  <si>
    <t>Mes evaluado</t>
  </si>
  <si>
    <t>Gerencia</t>
  </si>
  <si>
    <t>Camisa</t>
  </si>
  <si>
    <t>Pantalon</t>
  </si>
  <si>
    <t>Gafete</t>
  </si>
  <si>
    <t>Faja</t>
  </si>
  <si>
    <t>Cinturón de seguridad con amarre a poste</t>
  </si>
  <si>
    <t>Chaleco preventivo</t>
  </si>
  <si>
    <t>Casco de protección</t>
  </si>
  <si>
    <t>Guantes de cuero</t>
  </si>
  <si>
    <t>Capa Impermeable</t>
  </si>
  <si>
    <t>Aspecto personal</t>
  </si>
  <si>
    <t>Logotipo de empresa</t>
  </si>
  <si>
    <t>Carrocería</t>
  </si>
  <si>
    <t>Porta Escalera</t>
  </si>
  <si>
    <t>Estado de neumáticos</t>
  </si>
  <si>
    <t>Rotulado de unidad</t>
  </si>
  <si>
    <t>Orden y limpieza</t>
  </si>
  <si>
    <t>Uniforme</t>
  </si>
  <si>
    <t>Vehiculo</t>
  </si>
  <si>
    <t>Tercer Archivo</t>
  </si>
  <si>
    <t>Técnico Certificado Por Claro</t>
  </si>
  <si>
    <t>Cuarto Archivo</t>
  </si>
  <si>
    <t>Tecnico certificado</t>
  </si>
  <si>
    <t>** Evaluacion de Calidad Tecnica HFC Instalaciones</t>
  </si>
  <si>
    <t>Pais</t>
  </si>
  <si>
    <t>Contratista</t>
  </si>
  <si>
    <t>Area operativa</t>
  </si>
  <si>
    <t>Nombre del Técnico</t>
  </si>
  <si>
    <t>Codigo de Empleado</t>
  </si>
  <si>
    <t>Nombre del Supervisor Técnico</t>
  </si>
  <si>
    <t>AREA</t>
  </si>
  <si>
    <t>POND</t>
  </si>
  <si>
    <t>DESCRIPCION</t>
  </si>
  <si>
    <t>POND.</t>
  </si>
  <si>
    <t>Respuesta</t>
  </si>
  <si>
    <t>TAP</t>
  </si>
  <si>
    <t>Uso de abrazaderas  de remate (aplica red aérea)*</t>
  </si>
  <si>
    <t>Uso de conector  "nuevo", normado por Claro</t>
  </si>
  <si>
    <t>uilizo remates y clip tipo S</t>
  </si>
  <si>
    <t xml:space="preserve">Ausencia de rozamiento con otros  elementos </t>
  </si>
  <si>
    <t>Acomentida sin empalmes</t>
  </si>
  <si>
    <t>Observaciones</t>
  </si>
  <si>
    <t>ACOMETIDA INTERNA</t>
  </si>
  <si>
    <t xml:space="preserve">Se cambio el cableado </t>
  </si>
  <si>
    <t>Estetica en la instalación del cableado</t>
  </si>
  <si>
    <t>Torqueado de accesorios de distribucion</t>
  </si>
  <si>
    <t>Correcta aplicacion de conectores</t>
  </si>
  <si>
    <t>Según OS se cumplio con la cantidad de televisores instalados</t>
  </si>
  <si>
    <t>según la orden de servicio se dejaron los equipos solicitados (repetidor wifi, DVR)</t>
  </si>
  <si>
    <t>Conexión y configuración adecuada de cable m odem *</t>
  </si>
  <si>
    <t>El cable modem tiene niveles correctos</t>
  </si>
  <si>
    <t>Técnico Evaluado</t>
  </si>
  <si>
    <t>Puntos</t>
  </si>
  <si>
    <t>** EVALUACIÓN DE VEHICULOS Y UNIFORMES (COBRE, ADSL, HFC)</t>
  </si>
  <si>
    <t>Tecnología</t>
  </si>
  <si>
    <t>UNIFORME</t>
  </si>
  <si>
    <t>Resultado</t>
  </si>
  <si>
    <t>Botas</t>
  </si>
  <si>
    <t>TOTAL</t>
  </si>
  <si>
    <t>OBSERVACIONES</t>
  </si>
  <si>
    <t>APLICA</t>
  </si>
  <si>
    <t>VEHICULO</t>
  </si>
  <si>
    <t>Carroceria</t>
  </si>
  <si>
    <t>Estado de neumaticos</t>
  </si>
  <si>
    <t>MOTO</t>
  </si>
  <si>
    <t>Logotipo</t>
  </si>
  <si>
    <t>Estado de Carroceria</t>
  </si>
  <si>
    <t>Focos</t>
  </si>
  <si>
    <t>Parrilla</t>
  </si>
  <si>
    <t xml:space="preserve">Casco </t>
  </si>
  <si>
    <t>Pide Vía</t>
  </si>
  <si>
    <t>Luces Laterales</t>
  </si>
  <si>
    <t>Estado de las Llantas</t>
  </si>
  <si>
    <t>Stop Traseros</t>
  </si>
  <si>
    <t>Marca Y Modelo</t>
  </si>
  <si>
    <t>CERTIFICACION</t>
  </si>
  <si>
    <t>Tecnico Certificado Por Claro</t>
  </si>
  <si>
    <t>HFC</t>
  </si>
  <si>
    <t>Guatemala</t>
  </si>
  <si>
    <t>Orden de Servicio</t>
  </si>
  <si>
    <t>** Evaluacion de Auditoria HFC Reparaciones e Instalaciones</t>
  </si>
  <si>
    <t>Fecha de Evaluacion</t>
  </si>
  <si>
    <t>Actividad:</t>
  </si>
  <si>
    <t>Descripción</t>
  </si>
  <si>
    <t>RESPUESTA</t>
  </si>
  <si>
    <t>Equipo de mediciòn</t>
  </si>
  <si>
    <t>Desarmadores … DESATORNILLADORES</t>
  </si>
  <si>
    <t xml:space="preserve">Guia de acero de 30 metros </t>
  </si>
  <si>
    <t>corta alambre de 8"</t>
  </si>
  <si>
    <t>Cadena con conadados (aegurar escalera a vehículo)</t>
  </si>
  <si>
    <t>Inversor de voltage de 1,600 watts</t>
  </si>
  <si>
    <t>Tecnologia</t>
  </si>
  <si>
    <t>supervisor</t>
  </si>
  <si>
    <t>Instalación de cable correcto (con mensajero/SIn mensajero)</t>
  </si>
  <si>
    <t>Acometida SIn empalmes</t>
  </si>
  <si>
    <t>ExtenSIón eléctrica de 15 metros</t>
  </si>
  <si>
    <t>No. SuperviSIon</t>
  </si>
  <si>
    <t xml:space="preserve"> Evaluador / Supervisor de Nacel</t>
  </si>
  <si>
    <t xml:space="preserve">                                         Visto bueno Jefatura de Instalaciones</t>
  </si>
  <si>
    <t xml:space="preserve">       Calidad Nacel</t>
  </si>
  <si>
    <t>FIRMA______________________</t>
  </si>
  <si>
    <t xml:space="preserve">   FIRMA_____________________</t>
  </si>
  <si>
    <t>FIRMA_________________________</t>
  </si>
  <si>
    <t xml:space="preserve">              FIRMA________________</t>
  </si>
  <si>
    <t xml:space="preserve"> Técnico Evaluado</t>
  </si>
  <si>
    <t xml:space="preserve">                    Evaluador / Supervisor de Nacel</t>
  </si>
  <si>
    <t>Visto bueno Jefatura de Instalaciones</t>
  </si>
  <si>
    <t xml:space="preserve">                               FIRMA_____________________</t>
  </si>
  <si>
    <t>ACOMENTIDA EXTERNA</t>
  </si>
  <si>
    <t>INGRID MARBELLA</t>
  </si>
  <si>
    <t>Junio</t>
  </si>
  <si>
    <t>GT METRO</t>
  </si>
  <si>
    <t>LOURDES</t>
  </si>
  <si>
    <t>Jerson Alvarado</t>
  </si>
  <si>
    <t>Brayan Plateros</t>
  </si>
  <si>
    <t>No</t>
  </si>
  <si>
    <t>N/A</t>
  </si>
  <si>
    <t>https://drive.google.com/open?id=1E8i9Bzbd0OQcEVKZ1VnlVYiQfJrMIcjz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</si>
</sst>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i/>
      <sz val="10"/>
      <name val="Arial"/>
      <family val="2"/>
    </font>
    <font>
      <i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b/>
      <i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b/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Dot">
        <color auto="1"/>
      </top>
      <bottom/>
      <diagonal/>
    </border>
    <border>
      <left/>
      <right/>
      <top/>
      <bottom style="dashDotDot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9" fontId="6" fillId="0" borderId="0" applyFont="0" applyFill="0" applyBorder="0" applyAlignment="0" applyProtection="0"/>
    <xf numFmtId="0" fontId="21" fillId="0" borderId="0"/>
  </cellStyleXfs>
  <cellXfs count="243">
    <xf numFmtId="0" fontId="0" fillId="0" borderId="0" xfId="0"/>
    <xf numFmtId="0" fontId="8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4" borderId="7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9" fontId="15" fillId="4" borderId="7" xfId="3" applyFont="1" applyFill="1" applyBorder="1" applyAlignment="1">
      <alignment horizontal="center" vertical="center" wrapText="1"/>
    </xf>
    <xf numFmtId="0" fontId="14" fillId="0" borderId="0" xfId="0" applyFont="1"/>
    <xf numFmtId="0" fontId="12" fillId="0" borderId="1" xfId="0" applyFont="1" applyBorder="1" applyAlignment="1">
      <alignment horizontal="center"/>
    </xf>
    <xf numFmtId="0" fontId="22" fillId="0" borderId="0" xfId="0" applyFont="1"/>
    <xf numFmtId="0" fontId="23" fillId="0" borderId="0" xfId="0" applyFont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24" fillId="5" borderId="0" xfId="0" applyFont="1" applyFill="1" applyAlignment="1">
      <alignment horizontal="center" vertical="center" wrapText="1"/>
    </xf>
    <xf numFmtId="0" fontId="25" fillId="5" borderId="0" xfId="0" applyFont="1" applyFill="1" applyAlignment="1">
      <alignment horizontal="center" vertical="center" wrapText="1"/>
    </xf>
    <xf numFmtId="0" fontId="7" fillId="6" borderId="33" xfId="0" applyFont="1" applyFill="1" applyBorder="1" applyAlignment="1">
      <alignment horizontal="center" vertical="center" wrapText="1"/>
    </xf>
    <xf numFmtId="0" fontId="26" fillId="4" borderId="33" xfId="0" applyFont="1" applyFill="1" applyBorder="1" applyAlignment="1">
      <alignment horizontal="center" vertical="center" wrapText="1"/>
    </xf>
    <xf numFmtId="0" fontId="7" fillId="4" borderId="33" xfId="0" applyFont="1" applyFill="1" applyBorder="1" applyAlignment="1">
      <alignment horizontal="center" vertical="center" wrapText="1"/>
    </xf>
    <xf numFmtId="0" fontId="21" fillId="0" borderId="33" xfId="0" applyFont="1" applyBorder="1" applyAlignment="1">
      <alignment horizontal="left" vertical="center" wrapText="1"/>
    </xf>
    <xf numFmtId="0" fontId="21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 wrapText="1"/>
    </xf>
    <xf numFmtId="0" fontId="1" fillId="0" borderId="1" xfId="0" applyFont="1" applyBorder="1"/>
    <xf numFmtId="0" fontId="27" fillId="5" borderId="1" xfId="0" applyFont="1" applyFill="1" applyBorder="1" applyAlignment="1">
      <alignment horizontal="left" vertical="center"/>
    </xf>
    <xf numFmtId="0" fontId="27" fillId="5" borderId="34" xfId="0" applyFont="1" applyFill="1" applyBorder="1" applyAlignment="1">
      <alignment horizontal="left" vertical="center"/>
    </xf>
    <xf numFmtId="1" fontId="17" fillId="0" borderId="2" xfId="0" applyNumberFormat="1" applyFont="1" applyBorder="1"/>
    <xf numFmtId="0" fontId="25" fillId="5" borderId="39" xfId="0" applyFont="1" applyFill="1" applyBorder="1" applyAlignment="1">
      <alignment horizontal="center" vertical="center" wrapText="1"/>
    </xf>
    <xf numFmtId="0" fontId="14" fillId="0" borderId="39" xfId="0" applyFont="1" applyBorder="1"/>
    <xf numFmtId="0" fontId="27" fillId="5" borderId="0" xfId="0" applyFont="1" applyFill="1" applyAlignment="1">
      <alignment horizontal="right" vertical="center"/>
    </xf>
    <xf numFmtId="0" fontId="27" fillId="0" borderId="33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5" fillId="5" borderId="40" xfId="0" applyFont="1" applyFill="1" applyBorder="1" applyAlignment="1">
      <alignment horizontal="center" vertical="center" wrapText="1"/>
    </xf>
    <xf numFmtId="0" fontId="14" fillId="0" borderId="40" xfId="0" applyFont="1" applyBorder="1"/>
    <xf numFmtId="0" fontId="21" fillId="0" borderId="0" xfId="0" applyFont="1" applyAlignment="1">
      <alignment horizontal="left" vertical="center" wrapText="1"/>
    </xf>
    <xf numFmtId="1" fontId="5" fillId="0" borderId="0" xfId="0" applyNumberFormat="1" applyFont="1" applyAlignment="1">
      <alignment horizontal="right" vertical="center" wrapText="1"/>
    </xf>
    <xf numFmtId="0" fontId="21" fillId="0" borderId="1" xfId="0" applyFont="1" applyBorder="1" applyAlignment="1">
      <alignment vertical="center" wrapText="1"/>
    </xf>
    <xf numFmtId="0" fontId="21" fillId="0" borderId="1" xfId="0" applyFont="1" applyBorder="1"/>
    <xf numFmtId="0" fontId="7" fillId="4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12" fillId="0" borderId="0" xfId="0" applyFont="1" applyAlignment="1">
      <alignment horizontal="left" vertical="center" wrapText="1"/>
    </xf>
    <xf numFmtId="0" fontId="7" fillId="4" borderId="30" xfId="2" applyFont="1" applyFill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center" vertical="center" wrapText="1"/>
    </xf>
    <xf numFmtId="0" fontId="21" fillId="5" borderId="45" xfId="2" applyFont="1" applyFill="1" applyBorder="1" applyAlignment="1">
      <alignment horizontal="left" vertical="center"/>
    </xf>
    <xf numFmtId="0" fontId="21" fillId="5" borderId="13" xfId="2" applyFont="1" applyFill="1" applyBorder="1" applyAlignment="1">
      <alignment horizontal="left" vertical="center"/>
    </xf>
    <xf numFmtId="0" fontId="21" fillId="0" borderId="13" xfId="2" applyFont="1" applyBorder="1" applyAlignment="1">
      <alignment horizontal="left" vertical="center"/>
    </xf>
    <xf numFmtId="0" fontId="21" fillId="0" borderId="13" xfId="2" applyFont="1" applyBorder="1" applyAlignment="1">
      <alignment vertical="center"/>
    </xf>
    <xf numFmtId="0" fontId="21" fillId="0" borderId="15" xfId="2" applyFont="1" applyBorder="1" applyAlignment="1">
      <alignment vertical="center"/>
    </xf>
    <xf numFmtId="0" fontId="25" fillId="0" borderId="27" xfId="2" applyFont="1" applyBorder="1" applyAlignment="1">
      <alignment horizontal="left" vertical="center"/>
    </xf>
    <xf numFmtId="0" fontId="12" fillId="0" borderId="0" xfId="0" applyFont="1" applyAlignment="1">
      <alignment horizontal="center"/>
    </xf>
    <xf numFmtId="0" fontId="15" fillId="4" borderId="7" xfId="2" applyFont="1" applyFill="1" applyBorder="1" applyAlignment="1">
      <alignment horizontal="center" vertical="center"/>
    </xf>
    <xf numFmtId="0" fontId="28" fillId="5" borderId="0" xfId="0" applyFont="1" applyFill="1" applyAlignment="1">
      <alignment horizontal="left" vertical="center"/>
    </xf>
    <xf numFmtId="0" fontId="12" fillId="0" borderId="4" xfId="0" applyFont="1" applyBorder="1" applyAlignment="1">
      <alignment horizontal="center"/>
    </xf>
    <xf numFmtId="0" fontId="34" fillId="0" borderId="30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/>
    </xf>
    <xf numFmtId="1" fontId="1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4" fillId="2" borderId="0" xfId="2" applyFont="1" applyFill="1" applyAlignment="1">
      <alignment horizontal="center" vertical="center"/>
    </xf>
    <xf numFmtId="0" fontId="4" fillId="2" borderId="2" xfId="2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 wrapText="1"/>
    </xf>
    <xf numFmtId="1" fontId="5" fillId="2" borderId="4" xfId="0" applyNumberFormat="1" applyFont="1" applyFill="1" applyBorder="1" applyAlignment="1">
      <alignment horizontal="center" vertical="center"/>
    </xf>
    <xf numFmtId="1" fontId="5" fillId="2" borderId="4" xfId="0" applyNumberFormat="1" applyFont="1" applyFill="1" applyBorder="1" applyAlignment="1">
      <alignment horizontal="center" vertical="center" wrapText="1"/>
    </xf>
    <xf numFmtId="1" fontId="5" fillId="2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4" fillId="2" borderId="31" xfId="2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4" fillId="2" borderId="14" xfId="2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4" fillId="2" borderId="17" xfId="2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41" xfId="0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/>
    </xf>
    <xf numFmtId="0" fontId="29" fillId="0" borderId="32" xfId="0" applyFont="1" applyBorder="1" applyAlignment="1">
      <alignment horizont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1" xfId="0" applyFont="1" applyBorder="1" applyAlignment="1">
      <alignment horizontal="center" vertical="top"/>
    </xf>
    <xf numFmtId="0" fontId="7" fillId="3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 wrapText="1"/>
    </xf>
    <xf numFmtId="0" fontId="14" fillId="0" borderId="34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36" xfId="0" applyFont="1" applyBorder="1" applyAlignment="1">
      <alignment vertical="top"/>
    </xf>
    <xf numFmtId="9" fontId="0" fillId="0" borderId="0" xfId="3" applyFont="1" applyAlignment="1">
      <alignment horizontal="center" vertical="center"/>
    </xf>
    <xf numFmtId="9" fontId="0" fillId="0" borderId="0" xfId="3" applyFont="1" applyBorder="1" applyAlignment="1">
      <alignment horizontal="center" vertical="center"/>
    </xf>
    <xf numFmtId="9" fontId="14" fillId="0" borderId="0" xfId="3" applyFont="1"/>
    <xf numFmtId="0" fontId="14" fillId="0" borderId="1" xfId="0" applyFont="1" applyBorder="1" applyAlignment="1">
      <alignment horizontal="center" vertical="center" wrapText="1"/>
    </xf>
    <xf numFmtId="0" fontId="21" fillId="0" borderId="0" xfId="0" applyFont="1"/>
    <xf numFmtId="0" fontId="36" fillId="0" borderId="0" xfId="0" applyFont="1" applyAlignment="1">
      <alignment horizontal="left" vertical="center"/>
    </xf>
    <xf numFmtId="0" fontId="36" fillId="0" borderId="0" xfId="0" applyFont="1"/>
    <xf numFmtId="0" fontId="36" fillId="0" borderId="0" xfId="0" applyFont="1" applyAlignment="1">
      <alignment horizontal="right"/>
    </xf>
    <xf numFmtId="0" fontId="11" fillId="0" borderId="0" xfId="0" applyFont="1"/>
    <xf numFmtId="0" fontId="37" fillId="0" borderId="0" xfId="0" applyFont="1"/>
    <xf numFmtId="0" fontId="11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1" applyAlignment="1">
      <alignment horizontal="center" vertical="center"/>
    </xf>
    <xf numFmtId="0" fontId="14" fillId="0" borderId="0" xfId="0" applyFont="1" applyAlignment="1">
      <alignment horizontal="left" vertical="top"/>
    </xf>
    <xf numFmtId="14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9" fontId="0" fillId="5" borderId="0" xfId="3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2" fillId="5" borderId="0" xfId="1" applyFill="1" applyAlignment="1">
      <alignment horizontal="center" vertical="center"/>
    </xf>
    <xf numFmtId="9" fontId="0" fillId="5" borderId="0" xfId="3" applyFont="1" applyFill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14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14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9" fillId="9" borderId="1" xfId="0" applyFont="1" applyFill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/>
    </xf>
    <xf numFmtId="14" fontId="1" fillId="0" borderId="46" xfId="0" applyNumberFormat="1" applyFont="1" applyBorder="1" applyAlignment="1">
      <alignment horizontal="center" vertical="center"/>
    </xf>
    <xf numFmtId="17" fontId="1" fillId="0" borderId="46" xfId="0" applyNumberFormat="1" applyFont="1" applyBorder="1" applyAlignment="1">
      <alignment horizontal="center" vertical="center"/>
    </xf>
    <xf numFmtId="0" fontId="2" fillId="0" borderId="46" xfId="1" applyBorder="1" applyAlignment="1">
      <alignment horizontal="center" vertical="center" wrapText="1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47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12" xfId="0" applyFont="1" applyFill="1" applyBorder="1" applyAlignment="1">
      <alignment horizontal="left" vertical="center" wrapText="1"/>
    </xf>
    <xf numFmtId="9" fontId="11" fillId="5" borderId="24" xfId="3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left" vertical="center" wrapText="1"/>
    </xf>
    <xf numFmtId="9" fontId="11" fillId="5" borderId="25" xfId="3" applyFont="1" applyFill="1" applyBorder="1" applyAlignment="1">
      <alignment horizontal="center" vertical="center" wrapText="1"/>
    </xf>
    <xf numFmtId="0" fontId="0" fillId="5" borderId="25" xfId="0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left" vertical="center" wrapText="1"/>
    </xf>
    <xf numFmtId="9" fontId="11" fillId="5" borderId="26" xfId="3" applyFont="1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vertical="center"/>
    </xf>
    <xf numFmtId="0" fontId="12" fillId="5" borderId="15" xfId="0" applyFont="1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164" fontId="18" fillId="5" borderId="0" xfId="3" applyNumberFormat="1" applyFont="1" applyFill="1" applyBorder="1" applyAlignment="1">
      <alignment horizontal="center" vertical="center" wrapText="1"/>
    </xf>
    <xf numFmtId="0" fontId="18" fillId="5" borderId="0" xfId="0" applyFont="1" applyFill="1" applyAlignment="1">
      <alignment horizontal="center" vertical="center" wrapText="1"/>
    </xf>
    <xf numFmtId="0" fontId="13" fillId="5" borderId="1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19" xfId="0" applyFont="1" applyFill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21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32" fillId="5" borderId="30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5" borderId="0" xfId="0" applyFont="1" applyFill="1"/>
    <xf numFmtId="0" fontId="0" fillId="5" borderId="0" xfId="0" applyFill="1"/>
    <xf numFmtId="0" fontId="36" fillId="5" borderId="0" xfId="0" applyFont="1" applyFill="1" applyAlignment="1">
      <alignment horizontal="right"/>
    </xf>
    <xf numFmtId="0" fontId="14" fillId="5" borderId="0" xfId="0" applyFont="1" applyFill="1"/>
    <xf numFmtId="0" fontId="11" fillId="5" borderId="0" xfId="0" applyFont="1" applyFill="1"/>
    <xf numFmtId="0" fontId="37" fillId="5" borderId="0" xfId="0" applyFont="1" applyFill="1"/>
    <xf numFmtId="0" fontId="11" fillId="5" borderId="0" xfId="0" applyFont="1" applyFill="1" applyAlignment="1">
      <alignment horizontal="right"/>
    </xf>
    <xf numFmtId="0" fontId="11" fillId="5" borderId="0" xfId="0" applyFont="1" applyFill="1" applyAlignment="1">
      <alignment horizontal="left"/>
    </xf>
    <xf numFmtId="0" fontId="2" fillId="5" borderId="0" xfId="1" applyFill="1"/>
    <xf numFmtId="0" fontId="38" fillId="5" borderId="0" xfId="0" applyFont="1" applyFill="1" applyAlignment="1">
      <alignment horizontal="center" vertical="center"/>
    </xf>
    <xf numFmtId="0" fontId="16" fillId="5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1" fontId="24" fillId="2" borderId="42" xfId="0" applyNumberFormat="1" applyFont="1" applyFill="1" applyBorder="1" applyAlignment="1">
      <alignment horizontal="center" vertical="center" wrapText="1"/>
    </xf>
    <xf numFmtId="1" fontId="27" fillId="5" borderId="1" xfId="0" applyNumberFormat="1" applyFont="1" applyFill="1" applyBorder="1" applyAlignment="1">
      <alignment horizontal="center" vertical="center"/>
    </xf>
    <xf numFmtId="0" fontId="31" fillId="0" borderId="30" xfId="0" applyFont="1" applyBorder="1" applyAlignment="1">
      <alignment horizontal="center"/>
    </xf>
    <xf numFmtId="0" fontId="11" fillId="5" borderId="24" xfId="3" applyNumberFormat="1" applyFont="1" applyFill="1" applyBorder="1" applyAlignment="1">
      <alignment horizontal="center" vertical="center" wrapText="1"/>
    </xf>
    <xf numFmtId="0" fontId="11" fillId="5" borderId="25" xfId="3" applyNumberFormat="1" applyFont="1" applyFill="1" applyBorder="1" applyAlignment="1">
      <alignment horizontal="center" vertical="center" wrapText="1"/>
    </xf>
    <xf numFmtId="0" fontId="11" fillId="5" borderId="26" xfId="3" applyNumberFormat="1" applyFont="1" applyFill="1" applyBorder="1" applyAlignment="1">
      <alignment horizontal="center" vertical="center" wrapText="1"/>
    </xf>
    <xf numFmtId="9" fontId="0" fillId="5" borderId="0" xfId="3" applyFont="1" applyFill="1" applyAlignment="1">
      <alignment horizontal="left" vertical="center"/>
    </xf>
    <xf numFmtId="0" fontId="0" fillId="5" borderId="0" xfId="0" applyFill="1" applyAlignment="1">
      <alignment horizontal="right" vertical="center"/>
    </xf>
    <xf numFmtId="0" fontId="33" fillId="5" borderId="0" xfId="0" applyFont="1" applyFill="1" applyAlignment="1">
      <alignment horizontal="right" vertical="center"/>
    </xf>
    <xf numFmtId="0" fontId="13" fillId="5" borderId="27" xfId="0" applyFont="1" applyFill="1" applyBorder="1" applyAlignment="1">
      <alignment horizontal="center" vertical="center" wrapText="1"/>
    </xf>
    <xf numFmtId="0" fontId="13" fillId="5" borderId="28" xfId="0" applyFont="1" applyFill="1" applyBorder="1" applyAlignment="1">
      <alignment horizontal="center" vertical="center" wrapText="1"/>
    </xf>
    <xf numFmtId="0" fontId="13" fillId="5" borderId="29" xfId="0" applyFont="1" applyFill="1" applyBorder="1" applyAlignment="1">
      <alignment horizontal="center" vertical="center" wrapText="1"/>
    </xf>
    <xf numFmtId="0" fontId="13" fillId="5" borderId="7" xfId="0" applyFont="1" applyFill="1" applyBorder="1" applyAlignment="1">
      <alignment horizontal="center" vertical="center" wrapText="1"/>
    </xf>
    <xf numFmtId="0" fontId="13" fillId="5" borderId="10" xfId="0" applyFont="1" applyFill="1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9" fontId="13" fillId="5" borderId="7" xfId="3" applyFont="1" applyFill="1" applyBorder="1" applyAlignment="1">
      <alignment horizontal="center" vertical="center" wrapText="1"/>
    </xf>
    <xf numFmtId="9" fontId="13" fillId="5" borderId="10" xfId="3" applyFont="1" applyFill="1" applyBorder="1" applyAlignment="1">
      <alignment horizontal="center" vertical="center" wrapText="1"/>
    </xf>
    <xf numFmtId="9" fontId="13" fillId="5" borderId="16" xfId="3" applyFont="1" applyFill="1" applyBorder="1" applyAlignment="1">
      <alignment horizontal="center" vertical="center" wrapText="1"/>
    </xf>
    <xf numFmtId="0" fontId="13" fillId="5" borderId="9" xfId="0" applyFont="1" applyFill="1" applyBorder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22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1" wrapText="1"/>
    </xf>
    <xf numFmtId="0" fontId="13" fillId="5" borderId="13" xfId="0" applyFont="1" applyFill="1" applyBorder="1" applyAlignment="1">
      <alignment horizontal="center" vertical="center" textRotation="1" wrapText="1"/>
    </xf>
    <xf numFmtId="0" fontId="13" fillId="5" borderId="15" xfId="0" applyFont="1" applyFill="1" applyBorder="1" applyAlignment="1">
      <alignment horizontal="center" vertical="center" textRotation="1" wrapText="1"/>
    </xf>
    <xf numFmtId="0" fontId="13" fillId="5" borderId="7" xfId="3" applyNumberFormat="1" applyFont="1" applyFill="1" applyBorder="1" applyAlignment="1">
      <alignment horizontal="center" vertical="center" wrapText="1"/>
    </xf>
    <xf numFmtId="0" fontId="13" fillId="5" borderId="10" xfId="3" applyNumberFormat="1" applyFont="1" applyFill="1" applyBorder="1" applyAlignment="1">
      <alignment horizontal="center" vertical="center" wrapText="1"/>
    </xf>
    <xf numFmtId="0" fontId="13" fillId="5" borderId="16" xfId="3" applyNumberFormat="1" applyFont="1" applyFill="1" applyBorder="1" applyAlignment="1">
      <alignment horizontal="center" vertical="center" wrapText="1"/>
    </xf>
    <xf numFmtId="1" fontId="17" fillId="5" borderId="18" xfId="0" applyNumberFormat="1" applyFont="1" applyFill="1" applyBorder="1" applyAlignment="1">
      <alignment horizontal="center" vertical="center"/>
    </xf>
    <xf numFmtId="1" fontId="17" fillId="5" borderId="9" xfId="0" applyNumberFormat="1" applyFont="1" applyFill="1" applyBorder="1" applyAlignment="1">
      <alignment horizontal="center" vertical="center"/>
    </xf>
    <xf numFmtId="1" fontId="17" fillId="5" borderId="20" xfId="0" applyNumberFormat="1" applyFont="1" applyFill="1" applyBorder="1" applyAlignment="1">
      <alignment horizontal="center" vertical="center"/>
    </xf>
    <xf numFmtId="14" fontId="13" fillId="5" borderId="1" xfId="0" applyNumberFormat="1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14" fillId="0" borderId="34" xfId="0" applyFont="1" applyBorder="1" applyAlignment="1">
      <alignment horizontal="left" vertical="top"/>
    </xf>
    <xf numFmtId="0" fontId="14" fillId="0" borderId="2" xfId="0" applyFont="1" applyBorder="1" applyAlignment="1">
      <alignment horizontal="left" vertical="top"/>
    </xf>
    <xf numFmtId="0" fontId="14" fillId="0" borderId="36" xfId="0" applyFont="1" applyBorder="1" applyAlignment="1">
      <alignment horizontal="left" vertical="top"/>
    </xf>
    <xf numFmtId="0" fontId="14" fillId="0" borderId="35" xfId="0" applyFont="1" applyBorder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6" xfId="0" applyFont="1" applyBorder="1" applyAlignment="1">
      <alignment horizontal="left" vertical="top"/>
    </xf>
    <xf numFmtId="0" fontId="14" fillId="0" borderId="37" xfId="0" applyFont="1" applyBorder="1" applyAlignment="1">
      <alignment horizontal="left" vertical="top"/>
    </xf>
    <xf numFmtId="0" fontId="14" fillId="0" borderId="31" xfId="0" applyFont="1" applyBorder="1" applyAlignment="1">
      <alignment horizontal="left" vertical="top"/>
    </xf>
    <xf numFmtId="0" fontId="14" fillId="0" borderId="38" xfId="0" applyFont="1" applyBorder="1" applyAlignment="1">
      <alignment horizontal="left" vertical="top"/>
    </xf>
    <xf numFmtId="0" fontId="33" fillId="0" borderId="0" xfId="0" applyFont="1" applyAlignment="1">
      <alignment horizontal="right"/>
    </xf>
    <xf numFmtId="0" fontId="33" fillId="0" borderId="0" xfId="0" applyFont="1" applyAlignment="1">
      <alignment horizontal="right" vertical="center"/>
    </xf>
    <xf numFmtId="0" fontId="14" fillId="0" borderId="35" xfId="0" applyFont="1" applyBorder="1" applyAlignment="1">
      <alignment horizontal="center" vertical="top" wrapText="1"/>
    </xf>
    <xf numFmtId="0" fontId="14" fillId="0" borderId="0" xfId="0" applyFont="1" applyAlignment="1">
      <alignment horizontal="center" vertical="top" wrapText="1"/>
    </xf>
    <xf numFmtId="0" fontId="14" fillId="0" borderId="6" xfId="0" applyFont="1" applyBorder="1" applyAlignment="1">
      <alignment horizontal="center" vertical="top" wrapText="1"/>
    </xf>
    <xf numFmtId="0" fontId="14" fillId="0" borderId="37" xfId="0" applyFont="1" applyBorder="1" applyAlignment="1">
      <alignment horizontal="center" vertical="top" wrapText="1"/>
    </xf>
    <xf numFmtId="0" fontId="14" fillId="0" borderId="31" xfId="0" applyFont="1" applyBorder="1" applyAlignment="1">
      <alignment horizontal="center" vertical="top" wrapText="1"/>
    </xf>
    <xf numFmtId="0" fontId="14" fillId="0" borderId="38" xfId="0" applyFont="1" applyBorder="1" applyAlignment="1">
      <alignment horizontal="center" vertical="top" wrapText="1"/>
    </xf>
    <xf numFmtId="0" fontId="33" fillId="0" borderId="0" xfId="0" applyFont="1" applyAlignment="1">
      <alignment horizontal="center" vertical="center"/>
    </xf>
    <xf numFmtId="0" fontId="9" fillId="7" borderId="43" xfId="0" applyFont="1" applyFill="1" applyBorder="1" applyAlignment="1">
      <alignment horizontal="center"/>
    </xf>
    <xf numFmtId="0" fontId="9" fillId="7" borderId="44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1" fillId="0" borderId="46" xfId="0" applyNumberFormat="1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2" fillId="0" borderId="46" xfId="1" applyBorder="1" applyAlignment="1">
      <alignment horizontal="center" vertical="center"/>
    </xf>
  </cellXfs>
  <cellStyles count="5">
    <cellStyle name="Hipervínculo" xfId="1" builtinId="8"/>
    <cellStyle name="Normal" xfId="0" builtinId="0"/>
    <cellStyle name="Normal 2" xfId="2" xr:uid="{00000000-0005-0000-0000-000002000000}"/>
    <cellStyle name="Normal 3" xfId="4" xr:uid="{00000000-0005-0000-0000-000003000000}"/>
    <cellStyle name="Porcentaje" xfId="3" builtinId="5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3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69560</xdr:colOff>
      <xdr:row>58</xdr:row>
      <xdr:rowOff>106183</xdr:rowOff>
    </xdr:from>
    <xdr:ext cx="2821988" cy="906037"/>
    <xdr:pic>
      <xdr:nvPicPr>
        <xdr:cNvPr id="5" name="7 Imagen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69560" y="11704271"/>
          <a:ext cx="2821988" cy="906037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66</xdr:row>
      <xdr:rowOff>771</xdr:rowOff>
    </xdr:from>
    <xdr:to>
      <xdr:col>5</xdr:col>
      <xdr:colOff>1196434</xdr:colOff>
      <xdr:row>102</xdr:row>
      <xdr:rowOff>58851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83990" y="16053571"/>
          <a:ext cx="8829444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2325</xdr:colOff>
      <xdr:row>106</xdr:row>
      <xdr:rowOff>156882</xdr:rowOff>
    </xdr:from>
    <xdr:ext cx="2822652" cy="882805"/>
    <xdr:pic>
      <xdr:nvPicPr>
        <xdr:cNvPr id="7" name="7 Image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2325" y="21111882"/>
          <a:ext cx="2822652" cy="882805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114</xdr:row>
      <xdr:rowOff>64270</xdr:rowOff>
    </xdr:from>
    <xdr:to>
      <xdr:col>5</xdr:col>
      <xdr:colOff>1196434</xdr:colOff>
      <xdr:row>153</xdr:row>
      <xdr:rowOff>165099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83990" y="25476970"/>
          <a:ext cx="8829444" cy="7530329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383325</xdr:colOff>
      <xdr:row>158</xdr:row>
      <xdr:rowOff>24007</xdr:rowOff>
    </xdr:from>
    <xdr:ext cx="2822652" cy="882805"/>
    <xdr:pic>
      <xdr:nvPicPr>
        <xdr:cNvPr id="9" name="7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5" y="33818707"/>
          <a:ext cx="2822652" cy="882805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163</xdr:row>
      <xdr:rowOff>178570</xdr:rowOff>
    </xdr:from>
    <xdr:to>
      <xdr:col>5</xdr:col>
      <xdr:colOff>1196434</xdr:colOff>
      <xdr:row>202</xdr:row>
      <xdr:rowOff>63499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383990" y="35141670"/>
          <a:ext cx="8829444" cy="7314429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56030</xdr:colOff>
      <xdr:row>0</xdr:row>
      <xdr:rowOff>56030</xdr:rowOff>
    </xdr:from>
    <xdr:to>
      <xdr:col>1</xdr:col>
      <xdr:colOff>484094</xdr:colOff>
      <xdr:row>1</xdr:row>
      <xdr:rowOff>78732</xdr:rowOff>
    </xdr:to>
    <xdr:pic>
      <xdr:nvPicPr>
        <xdr:cNvPr id="11" name="Picture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56030" y="56030"/>
          <a:ext cx="1752039" cy="432277"/>
        </a:xfrm>
        <a:prstGeom prst="rect">
          <a:avLst/>
        </a:prstGeom>
      </xdr:spPr>
    </xdr:pic>
    <xdr:clientData/>
  </xdr:twoCellAnchor>
  <xdr:oneCellAnchor>
    <xdr:from>
      <xdr:col>0</xdr:col>
      <xdr:colOff>383325</xdr:colOff>
      <xdr:row>207</xdr:row>
      <xdr:rowOff>151007</xdr:rowOff>
    </xdr:from>
    <xdr:ext cx="2822652" cy="882805"/>
    <xdr:pic>
      <xdr:nvPicPr>
        <xdr:cNvPr id="13" name="7 Imagen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5" y="33945707"/>
          <a:ext cx="2822652" cy="882805"/>
        </a:xfrm>
        <a:prstGeom prst="rect">
          <a:avLst/>
        </a:prstGeom>
      </xdr:spPr>
    </xdr:pic>
    <xdr:clientData/>
  </xdr:oneCellAnchor>
  <xdr:twoCellAnchor>
    <xdr:from>
      <xdr:col>1</xdr:col>
      <xdr:colOff>139390</xdr:colOff>
      <xdr:row>212</xdr:row>
      <xdr:rowOff>127770</xdr:rowOff>
    </xdr:from>
    <xdr:to>
      <xdr:col>5</xdr:col>
      <xdr:colOff>1196434</xdr:colOff>
      <xdr:row>250</xdr:row>
      <xdr:rowOff>50799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83990" y="44641270"/>
          <a:ext cx="8829444" cy="7162029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4</xdr:row>
          <xdr:rowOff>9525</xdr:rowOff>
        </xdr:from>
        <xdr:to>
          <xdr:col>5</xdr:col>
          <xdr:colOff>1209675</xdr:colOff>
          <xdr:row>7</xdr:row>
          <xdr:rowOff>0</xdr:rowOff>
        </xdr:to>
        <xdr:sp macro="" textlink="">
          <xdr:nvSpPr>
            <xdr:cNvPr id="20483" name="CB1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4191000</xdr:colOff>
      <xdr:row>56</xdr:row>
      <xdr:rowOff>11206</xdr:rowOff>
    </xdr:from>
    <xdr:to>
      <xdr:col>3</xdr:col>
      <xdr:colOff>661147</xdr:colOff>
      <xdr:row>57</xdr:row>
      <xdr:rowOff>89648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01971" y="11228294"/>
          <a:ext cx="1322294" cy="268942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GT" sz="1100"/>
            <a:t>JAFET MEOÑO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342900</xdr:colOff>
      <xdr:row>84</xdr:row>
      <xdr:rowOff>2802</xdr:rowOff>
    </xdr:from>
    <xdr:to>
      <xdr:col>1</xdr:col>
      <xdr:colOff>1279602</xdr:colOff>
      <xdr:row>87</xdr:row>
      <xdr:rowOff>143217</xdr:rowOff>
    </xdr:to>
    <xdr:pic>
      <xdr:nvPicPr>
        <xdr:cNvPr id="5" name="5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17243052"/>
          <a:ext cx="2822652" cy="864315"/>
        </a:xfrm>
        <a:prstGeom prst="rect">
          <a:avLst/>
        </a:prstGeom>
      </xdr:spPr>
    </xdr:pic>
    <xdr:clientData/>
  </xdr:twoCellAnchor>
  <xdr:twoCellAnchor>
    <xdr:from>
      <xdr:col>0</xdr:col>
      <xdr:colOff>685800</xdr:colOff>
      <xdr:row>90</xdr:row>
      <xdr:rowOff>57150</xdr:rowOff>
    </xdr:from>
    <xdr:to>
      <xdr:col>6</xdr:col>
      <xdr:colOff>596899</xdr:colOff>
      <xdr:row>131</xdr:row>
      <xdr:rowOff>19050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85800" y="18764250"/>
          <a:ext cx="7442199" cy="673100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342900</xdr:colOff>
      <xdr:row>137</xdr:row>
      <xdr:rowOff>47625</xdr:rowOff>
    </xdr:from>
    <xdr:ext cx="2824384" cy="852498"/>
    <xdr:pic>
      <xdr:nvPicPr>
        <xdr:cNvPr id="7" name="5 Image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26108025"/>
          <a:ext cx="2824384" cy="852498"/>
        </a:xfrm>
        <a:prstGeom prst="rect">
          <a:avLst/>
        </a:prstGeom>
      </xdr:spPr>
    </xdr:pic>
    <xdr:clientData/>
  </xdr:oneCellAnchor>
  <xdr:twoCellAnchor>
    <xdr:from>
      <xdr:col>0</xdr:col>
      <xdr:colOff>774700</xdr:colOff>
      <xdr:row>145</xdr:row>
      <xdr:rowOff>57150</xdr:rowOff>
    </xdr:from>
    <xdr:to>
      <xdr:col>6</xdr:col>
      <xdr:colOff>736599</xdr:colOff>
      <xdr:row>186</xdr:row>
      <xdr:rowOff>19050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4700" y="28111450"/>
          <a:ext cx="7492999" cy="673100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22412</xdr:colOff>
      <xdr:row>0</xdr:row>
      <xdr:rowOff>56030</xdr:rowOff>
    </xdr:from>
    <xdr:to>
      <xdr:col>0</xdr:col>
      <xdr:colOff>1580030</xdr:colOff>
      <xdr:row>0</xdr:row>
      <xdr:rowOff>488307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22412" y="56030"/>
          <a:ext cx="1557618" cy="432277"/>
        </a:xfrm>
        <a:prstGeom prst="rect">
          <a:avLst/>
        </a:prstGeom>
      </xdr:spPr>
    </xdr:pic>
    <xdr:clientData/>
  </xdr:twoCellAnchor>
  <xdr:oneCellAnchor>
    <xdr:from>
      <xdr:col>0</xdr:col>
      <xdr:colOff>383325</xdr:colOff>
      <xdr:row>191</xdr:row>
      <xdr:rowOff>151007</xdr:rowOff>
    </xdr:from>
    <xdr:ext cx="2822652" cy="882805"/>
    <xdr:pic>
      <xdr:nvPicPr>
        <xdr:cNvPr id="10" name="7 Image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5" y="33831407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1104900</xdr:colOff>
      <xdr:row>196</xdr:row>
      <xdr:rowOff>127771</xdr:rowOff>
    </xdr:from>
    <xdr:to>
      <xdr:col>6</xdr:col>
      <xdr:colOff>546100</xdr:colOff>
      <xdr:row>232</xdr:row>
      <xdr:rowOff>185851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04900" y="36970471"/>
          <a:ext cx="6972300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383325</xdr:colOff>
      <xdr:row>240</xdr:row>
      <xdr:rowOff>151007</xdr:rowOff>
    </xdr:from>
    <xdr:ext cx="2822652" cy="882805"/>
    <xdr:pic>
      <xdr:nvPicPr>
        <xdr:cNvPr id="12" name="7 Imagen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5" y="43375457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850900</xdr:colOff>
      <xdr:row>245</xdr:row>
      <xdr:rowOff>127771</xdr:rowOff>
    </xdr:from>
    <xdr:to>
      <xdr:col>6</xdr:col>
      <xdr:colOff>596900</xdr:colOff>
      <xdr:row>281</xdr:row>
      <xdr:rowOff>185851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0900" y="46520871"/>
          <a:ext cx="7277100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44824</xdr:rowOff>
    </xdr:from>
    <xdr:to>
      <xdr:col>0</xdr:col>
      <xdr:colOff>1557618</xdr:colOff>
      <xdr:row>1</xdr:row>
      <xdr:rowOff>51277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61" r="7816" b="4336"/>
        <a:stretch>
          <a:fillRect/>
        </a:stretch>
      </xdr:blipFill>
      <xdr:spPr>
        <a:xfrm>
          <a:off x="33618" y="44824"/>
          <a:ext cx="1557618" cy="432277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43</xdr:row>
      <xdr:rowOff>2802</xdr:rowOff>
    </xdr:from>
    <xdr:to>
      <xdr:col>1</xdr:col>
      <xdr:colOff>850977</xdr:colOff>
      <xdr:row>47</xdr:row>
      <xdr:rowOff>105116</xdr:rowOff>
    </xdr:to>
    <xdr:pic>
      <xdr:nvPicPr>
        <xdr:cNvPr id="10" name="5 Image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17243052"/>
          <a:ext cx="2822652" cy="864315"/>
        </a:xfrm>
        <a:prstGeom prst="rect">
          <a:avLst/>
        </a:prstGeom>
      </xdr:spPr>
    </xdr:pic>
    <xdr:clientData/>
  </xdr:twoCellAnchor>
  <xdr:twoCellAnchor>
    <xdr:from>
      <xdr:col>0</xdr:col>
      <xdr:colOff>685800</xdr:colOff>
      <xdr:row>49</xdr:row>
      <xdr:rowOff>57150</xdr:rowOff>
    </xdr:from>
    <xdr:to>
      <xdr:col>6</xdr:col>
      <xdr:colOff>596899</xdr:colOff>
      <xdr:row>90</xdr:row>
      <xdr:rowOff>19050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85800" y="18535650"/>
          <a:ext cx="7702549" cy="6600825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342900</xdr:colOff>
      <xdr:row>96</xdr:row>
      <xdr:rowOff>47625</xdr:rowOff>
    </xdr:from>
    <xdr:ext cx="2824384" cy="852498"/>
    <xdr:pic>
      <xdr:nvPicPr>
        <xdr:cNvPr id="12" name="5 Imagen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42900" y="26136600"/>
          <a:ext cx="2824384" cy="852498"/>
        </a:xfrm>
        <a:prstGeom prst="rect">
          <a:avLst/>
        </a:prstGeom>
      </xdr:spPr>
    </xdr:pic>
    <xdr:clientData/>
  </xdr:oneCellAnchor>
  <xdr:twoCellAnchor>
    <xdr:from>
      <xdr:col>0</xdr:col>
      <xdr:colOff>774700</xdr:colOff>
      <xdr:row>105</xdr:row>
      <xdr:rowOff>146799</xdr:rowOff>
    </xdr:from>
    <xdr:to>
      <xdr:col>6</xdr:col>
      <xdr:colOff>593724</xdr:colOff>
      <xdr:row>146</xdr:row>
      <xdr:rowOff>108700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74700" y="21337123"/>
          <a:ext cx="7270936" cy="6394077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383325</xdr:colOff>
      <xdr:row>150</xdr:row>
      <xdr:rowOff>151007</xdr:rowOff>
    </xdr:from>
    <xdr:ext cx="2822652" cy="882805"/>
    <xdr:pic>
      <xdr:nvPicPr>
        <xdr:cNvPr id="14" name="7 Imagen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5" y="35279207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1104900</xdr:colOff>
      <xdr:row>155</xdr:row>
      <xdr:rowOff>161389</xdr:rowOff>
    </xdr:from>
    <xdr:to>
      <xdr:col>6</xdr:col>
      <xdr:colOff>546100</xdr:colOff>
      <xdr:row>192</xdr:row>
      <xdr:rowOff>28969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04900" y="29610448"/>
          <a:ext cx="6893112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0</xdr:col>
      <xdr:colOff>383325</xdr:colOff>
      <xdr:row>199</xdr:row>
      <xdr:rowOff>151007</xdr:rowOff>
    </xdr:from>
    <xdr:ext cx="2822652" cy="882805"/>
    <xdr:pic>
      <xdr:nvPicPr>
        <xdr:cNvPr id="16" name="7 Imagen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4" r="1219" b="15447"/>
        <a:stretch/>
      </xdr:blipFill>
      <xdr:spPr>
        <a:xfrm>
          <a:off x="383325" y="44823257"/>
          <a:ext cx="2822652" cy="882805"/>
        </a:xfrm>
        <a:prstGeom prst="rect">
          <a:avLst/>
        </a:prstGeom>
      </xdr:spPr>
    </xdr:pic>
    <xdr:clientData/>
  </xdr:oneCellAnchor>
  <xdr:twoCellAnchor>
    <xdr:from>
      <xdr:col>0</xdr:col>
      <xdr:colOff>850900</xdr:colOff>
      <xdr:row>204</xdr:row>
      <xdr:rowOff>127771</xdr:rowOff>
    </xdr:from>
    <xdr:to>
      <xdr:col>6</xdr:col>
      <xdr:colOff>596900</xdr:colOff>
      <xdr:row>240</xdr:row>
      <xdr:rowOff>185851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50900" y="45962071"/>
          <a:ext cx="7537450" cy="691608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liva.francis/Desktop/2017/AUDITORIAS%20PERSONAL%20INTERNO/CALIDAD%20DE%20LA%20INSTALACION%202017%20V1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S"/>
      <sheetName val="AUDITORIA"/>
      <sheetName val="Sheet1"/>
      <sheetName val="Hoja1"/>
      <sheetName val="HFC"/>
      <sheetName val="CALTEC HFC"/>
      <sheetName val="VUC HFC"/>
      <sheetName val="TOOLS HFC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E8i9Bzbd0OQcEVKZ1VnlVYiQfJrMIcjz" TargetMode="External"/><Relationship Id="rId2" Type="http://schemas.openxmlformats.org/officeDocument/2006/relationships/hyperlink" Target="https://drive.google.com/open?id=1E8i9Bzbd0OQcEVKZ1VnlVYiQfJrMIcjz" TargetMode="External"/><Relationship Id="rId1" Type="http://schemas.openxmlformats.org/officeDocument/2006/relationships/hyperlink" Target="https://drive.google.com/open?id=1E8i9Bzbd0OQcEVKZ1VnlVYiQfJrMIcjz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drive.google.com/open?id=1E8i9Bzbd0OQcEVKZ1VnlVYiQfJrMIcjz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CJ113"/>
  <sheetViews>
    <sheetView tabSelected="1" topLeftCell="AL1" zoomScale="80" zoomScaleNormal="80" workbookViewId="0">
      <pane ySplit="2" topLeftCell="A3" activePane="bottomLeft" state="frozen"/>
      <selection activeCell="C45" sqref="A45:XFD45"/>
      <selection pane="bottomLeft" activeCell="AP3" sqref="AP3"/>
    </sheetView>
  </sheetViews>
  <sheetFormatPr baseColWidth="10" defaultRowHeight="15" x14ac:dyDescent="0.25"/>
  <cols>
    <col min="1" max="1" width="18.85546875" style="74" customWidth="1"/>
    <col min="2" max="2" width="16.5703125" style="97" bestFit="1" customWidth="1"/>
    <col min="3" max="3" width="12.140625" style="74" bestFit="1" customWidth="1"/>
    <col min="4" max="4" width="10.85546875" style="74" bestFit="1" customWidth="1"/>
    <col min="5" max="6" width="10" style="74" bestFit="1" customWidth="1"/>
    <col min="7" max="7" width="15.5703125" style="74" bestFit="1" customWidth="1"/>
    <col min="8" max="8" width="20" style="74" bestFit="1" customWidth="1"/>
    <col min="9" max="9" width="12.7109375" style="74" bestFit="1" customWidth="1"/>
    <col min="10" max="10" width="18.85546875" style="74" bestFit="1" customWidth="1"/>
    <col min="11" max="11" width="21.5703125" style="74" bestFit="1" customWidth="1"/>
    <col min="12" max="12" width="19.5703125" style="74" bestFit="1" customWidth="1"/>
    <col min="13" max="13" width="11.5703125" style="74" bestFit="1" customWidth="1"/>
    <col min="14" max="14" width="16.42578125" style="74" bestFit="1" customWidth="1"/>
    <col min="15" max="15" width="13.85546875" style="74" bestFit="1" customWidth="1"/>
    <col min="16" max="16" width="16" style="74" bestFit="1" customWidth="1"/>
    <col min="17" max="17" width="15" style="74" bestFit="1" customWidth="1"/>
    <col min="18" max="18" width="12.28515625" style="74" bestFit="1" customWidth="1"/>
    <col min="19" max="19" width="15.7109375" style="74" bestFit="1" customWidth="1"/>
    <col min="20" max="20" width="19.28515625" style="74" bestFit="1" customWidth="1"/>
    <col min="21" max="21" width="15.5703125" style="74" bestFit="1" customWidth="1"/>
    <col min="22" max="22" width="10.28515625" style="74" bestFit="1" customWidth="1"/>
    <col min="23" max="23" width="11.28515625" style="74" bestFit="1" customWidth="1"/>
    <col min="24" max="24" width="18" style="74" bestFit="1" customWidth="1"/>
    <col min="25" max="25" width="16.5703125" style="74" bestFit="1" customWidth="1"/>
    <col min="26" max="26" width="11.7109375" style="74" bestFit="1" customWidth="1"/>
    <col min="27" max="27" width="9.42578125" style="74" bestFit="1" customWidth="1"/>
    <col min="28" max="28" width="13.7109375" style="74" bestFit="1" customWidth="1"/>
    <col min="29" max="30" width="15.28515625" style="74" bestFit="1" customWidth="1"/>
    <col min="31" max="31" width="20" style="74" bestFit="1" customWidth="1"/>
    <col min="32" max="32" width="15.140625" style="74" bestFit="1" customWidth="1"/>
    <col min="33" max="33" width="15" style="74" bestFit="1" customWidth="1"/>
    <col min="34" max="34" width="22.7109375" style="74" bestFit="1" customWidth="1"/>
    <col min="35" max="35" width="13.85546875" style="74" bestFit="1" customWidth="1"/>
    <col min="36" max="36" width="10.5703125" style="74" bestFit="1" customWidth="1"/>
    <col min="37" max="37" width="15.28515625" style="74" bestFit="1" customWidth="1"/>
    <col min="38" max="38" width="27.85546875" style="74" bestFit="1" customWidth="1"/>
    <col min="39" max="39" width="19.42578125" style="74" bestFit="1" customWidth="1"/>
    <col min="40" max="40" width="10.85546875" style="74" bestFit="1" customWidth="1"/>
    <col min="41" max="41" width="21.5703125" style="96" bestFit="1" customWidth="1"/>
    <col min="42" max="42" width="18.140625" style="96" bestFit="1" customWidth="1"/>
    <col min="43" max="43" width="9.85546875" style="74" bestFit="1" customWidth="1"/>
    <col min="44" max="44" width="12.85546875" style="74" bestFit="1" customWidth="1"/>
    <col min="45" max="45" width="10.85546875" style="74" bestFit="1" customWidth="1"/>
    <col min="46" max="46" width="20.85546875" style="74" bestFit="1" customWidth="1"/>
    <col min="47" max="47" width="9.42578125" style="74" bestFit="1" customWidth="1"/>
    <col min="48" max="48" width="11.42578125" style="74" bestFit="1" customWidth="1"/>
    <col min="49" max="49" width="13.5703125" style="74" bestFit="1" customWidth="1"/>
    <col min="50" max="50" width="15.28515625" style="74" bestFit="1" customWidth="1"/>
    <col min="51" max="51" width="20.5703125" style="74" bestFit="1" customWidth="1"/>
    <col min="52" max="52" width="16.42578125" style="74" bestFit="1" customWidth="1"/>
    <col min="53" max="53" width="11.7109375" style="74" bestFit="1" customWidth="1"/>
    <col min="54" max="54" width="13.7109375" style="74" bestFit="1" customWidth="1"/>
    <col min="55" max="55" width="7.28515625" style="74" customWidth="1"/>
    <col min="56" max="56" width="9.28515625" style="74" bestFit="1" customWidth="1"/>
    <col min="57" max="58" width="12.7109375" style="74" bestFit="1" customWidth="1"/>
    <col min="59" max="59" width="8.5703125" style="74" bestFit="1" customWidth="1"/>
    <col min="60" max="60" width="9.5703125" style="74" bestFit="1" customWidth="1"/>
    <col min="61" max="61" width="7.85546875" style="74" bestFit="1" customWidth="1"/>
    <col min="62" max="62" width="7.7109375" style="74" bestFit="1" customWidth="1"/>
    <col min="63" max="63" width="5" style="74" bestFit="1" customWidth="1"/>
    <col min="64" max="64" width="16.28515625" style="74" bestFit="1" customWidth="1"/>
    <col min="65" max="66" width="11.7109375" style="74" bestFit="1" customWidth="1"/>
    <col min="67" max="67" width="12.42578125" style="74" bestFit="1" customWidth="1"/>
    <col min="68" max="68" width="14.42578125" style="74" bestFit="1" customWidth="1"/>
    <col min="69" max="69" width="10" style="74" bestFit="1" customWidth="1"/>
    <col min="70" max="70" width="10.140625" style="74" bestFit="1" customWidth="1"/>
    <col min="71" max="71" width="11.5703125" style="74" bestFit="1" customWidth="1"/>
    <col min="72" max="72" width="9.42578125" style="74" bestFit="1" customWidth="1"/>
    <col min="73" max="74" width="12.85546875" style="74" bestFit="1" customWidth="1"/>
    <col min="75" max="75" width="9.42578125" style="74" bestFit="1" customWidth="1"/>
    <col min="76" max="76" width="15.85546875" style="96" bestFit="1" customWidth="1"/>
    <col min="77" max="77" width="12" style="74" bestFit="1" customWidth="1"/>
    <col min="78" max="78" width="15.85546875" style="96" bestFit="1" customWidth="1"/>
    <col min="79" max="79" width="8.7109375" style="74" bestFit="1" customWidth="1"/>
    <col min="80" max="80" width="13.42578125" style="74" bestFit="1" customWidth="1"/>
    <col min="81" max="81" width="10.28515625" style="74" bestFit="1" customWidth="1"/>
    <col min="82" max="82" width="9.85546875" style="74" bestFit="1" customWidth="1"/>
    <col min="83" max="83" width="11.5703125" style="74" bestFit="1" customWidth="1"/>
    <col min="84" max="84" width="13" style="74" bestFit="1" customWidth="1"/>
    <col min="85" max="85" width="12" style="74" bestFit="1" customWidth="1"/>
    <col min="86" max="86" width="12.140625" style="74" bestFit="1" customWidth="1"/>
    <col min="87" max="87" width="30.7109375" style="96" customWidth="1"/>
    <col min="88" max="88" width="10.28515625" style="74" customWidth="1"/>
    <col min="89" max="89" width="19.7109375" style="74" customWidth="1"/>
    <col min="90" max="90" width="4.5703125" style="74" customWidth="1"/>
    <col min="91" max="16384" width="11.42578125" style="74"/>
  </cols>
  <sheetData>
    <row r="1" spans="1:88" x14ac:dyDescent="0.25">
      <c r="K1" s="74">
        <v>5</v>
      </c>
      <c r="L1" s="74">
        <v>5</v>
      </c>
      <c r="M1" s="74">
        <v>3</v>
      </c>
      <c r="N1" s="74">
        <v>3</v>
      </c>
      <c r="O1" s="74">
        <v>5</v>
      </c>
      <c r="P1" s="74">
        <v>3</v>
      </c>
      <c r="Q1" s="74">
        <v>5</v>
      </c>
      <c r="R1" s="74">
        <v>3</v>
      </c>
      <c r="S1" s="74">
        <v>3</v>
      </c>
      <c r="T1" s="74">
        <v>5</v>
      </c>
      <c r="U1" s="74">
        <v>5</v>
      </c>
      <c r="V1" s="74">
        <v>5</v>
      </c>
      <c r="W1" s="74">
        <v>5</v>
      </c>
      <c r="X1" s="74">
        <v>5</v>
      </c>
      <c r="Y1" s="74">
        <v>5</v>
      </c>
      <c r="Z1" s="74">
        <v>5</v>
      </c>
      <c r="AA1" s="74">
        <v>30</v>
      </c>
      <c r="AB1" s="74">
        <v>5</v>
      </c>
      <c r="AC1" s="74">
        <v>3</v>
      </c>
      <c r="AD1" s="74">
        <v>1</v>
      </c>
      <c r="AE1" s="74">
        <v>1</v>
      </c>
      <c r="AF1" s="74">
        <v>1</v>
      </c>
      <c r="AG1" s="74">
        <v>1</v>
      </c>
      <c r="AH1" s="74">
        <v>1</v>
      </c>
      <c r="AI1" s="74">
        <v>1</v>
      </c>
      <c r="AJ1" s="74">
        <v>5</v>
      </c>
      <c r="AK1" s="74">
        <v>3</v>
      </c>
      <c r="AL1" s="74">
        <v>2</v>
      </c>
      <c r="AM1" s="74">
        <v>3</v>
      </c>
      <c r="AN1" s="74">
        <v>3</v>
      </c>
      <c r="AQ1" s="68">
        <v>10</v>
      </c>
      <c r="AR1" s="69">
        <v>10</v>
      </c>
      <c r="AS1" s="69">
        <v>30</v>
      </c>
      <c r="AT1" s="69">
        <v>3</v>
      </c>
      <c r="AU1" s="69">
        <v>10</v>
      </c>
      <c r="AV1" s="69">
        <v>5</v>
      </c>
      <c r="AW1" s="69">
        <v>5</v>
      </c>
      <c r="AX1" s="69">
        <v>2</v>
      </c>
      <c r="AY1" s="69">
        <v>5</v>
      </c>
      <c r="AZ1" s="69">
        <v>5</v>
      </c>
      <c r="BA1" s="69">
        <v>2</v>
      </c>
      <c r="BB1" s="69">
        <v>5</v>
      </c>
      <c r="BC1" s="69">
        <v>2</v>
      </c>
      <c r="BD1" s="69">
        <v>2</v>
      </c>
      <c r="BE1" s="69">
        <v>2</v>
      </c>
      <c r="BF1" s="69">
        <v>2</v>
      </c>
      <c r="BG1" s="70">
        <v>10</v>
      </c>
      <c r="BH1" s="70">
        <v>10</v>
      </c>
      <c r="BI1" s="70">
        <v>15</v>
      </c>
      <c r="BJ1" s="70">
        <v>15</v>
      </c>
      <c r="BK1" s="70">
        <v>5</v>
      </c>
      <c r="BL1" s="71">
        <v>10</v>
      </c>
      <c r="BM1" s="72">
        <v>5</v>
      </c>
      <c r="BN1" s="72">
        <v>10</v>
      </c>
      <c r="BO1" s="72">
        <v>5</v>
      </c>
      <c r="BP1" s="72">
        <v>5</v>
      </c>
      <c r="BQ1" s="70">
        <v>10</v>
      </c>
      <c r="BR1" s="70">
        <v>20</v>
      </c>
      <c r="BS1" s="70">
        <v>20</v>
      </c>
      <c r="BT1" s="70">
        <v>20</v>
      </c>
      <c r="BU1" s="70">
        <v>20</v>
      </c>
      <c r="BV1" s="70">
        <v>5</v>
      </c>
      <c r="BW1" s="70">
        <v>15</v>
      </c>
      <c r="BY1" s="73">
        <v>100</v>
      </c>
    </row>
    <row r="2" spans="1:88" ht="64.5" thickBot="1" x14ac:dyDescent="0.3">
      <c r="A2" s="75" t="s">
        <v>3</v>
      </c>
      <c r="B2" s="98" t="s">
        <v>55</v>
      </c>
      <c r="C2" s="75" t="s">
        <v>56</v>
      </c>
      <c r="D2" s="75" t="s">
        <v>57</v>
      </c>
      <c r="E2" s="75" t="s">
        <v>58</v>
      </c>
      <c r="F2" s="75" t="s">
        <v>59</v>
      </c>
      <c r="G2" s="75" t="s">
        <v>0</v>
      </c>
      <c r="H2" s="75" t="s">
        <v>1</v>
      </c>
      <c r="I2" s="75" t="s">
        <v>2</v>
      </c>
      <c r="J2" s="75" t="s">
        <v>3</v>
      </c>
      <c r="K2" s="93" t="s">
        <v>4</v>
      </c>
      <c r="L2" s="93" t="s">
        <v>5</v>
      </c>
      <c r="M2" s="93" t="s">
        <v>6</v>
      </c>
      <c r="N2" s="93" t="s">
        <v>7</v>
      </c>
      <c r="O2" s="93" t="s">
        <v>8</v>
      </c>
      <c r="P2" s="93" t="s">
        <v>9</v>
      </c>
      <c r="Q2" s="93" t="s">
        <v>10</v>
      </c>
      <c r="R2" s="93" t="s">
        <v>11</v>
      </c>
      <c r="S2" s="93" t="s">
        <v>12</v>
      </c>
      <c r="T2" s="93" t="s">
        <v>13</v>
      </c>
      <c r="U2" s="93" t="s">
        <v>152</v>
      </c>
      <c r="V2" s="93" t="s">
        <v>15</v>
      </c>
      <c r="W2" s="93" t="s">
        <v>16</v>
      </c>
      <c r="X2" s="93" t="s">
        <v>17</v>
      </c>
      <c r="Y2" s="93" t="s">
        <v>18</v>
      </c>
      <c r="Z2" s="93" t="s">
        <v>153</v>
      </c>
      <c r="AA2" s="93" t="s">
        <v>19</v>
      </c>
      <c r="AB2" s="93" t="s">
        <v>20</v>
      </c>
      <c r="AC2" s="93" t="s">
        <v>21</v>
      </c>
      <c r="AD2" s="93" t="s">
        <v>22</v>
      </c>
      <c r="AE2" s="93" t="s">
        <v>23</v>
      </c>
      <c r="AF2" s="93" t="s">
        <v>24</v>
      </c>
      <c r="AG2" s="93" t="s">
        <v>25</v>
      </c>
      <c r="AH2" s="93" t="s">
        <v>26</v>
      </c>
      <c r="AI2" s="93" t="s">
        <v>27</v>
      </c>
      <c r="AJ2" s="93" t="s">
        <v>28</v>
      </c>
      <c r="AK2" s="93" t="s">
        <v>29</v>
      </c>
      <c r="AL2" s="93" t="s">
        <v>30</v>
      </c>
      <c r="AM2" s="93" t="s">
        <v>31</v>
      </c>
      <c r="AN2" s="93" t="s">
        <v>32</v>
      </c>
      <c r="AO2" s="92" t="s">
        <v>33</v>
      </c>
      <c r="AP2" s="92" t="s">
        <v>34</v>
      </c>
      <c r="AQ2" s="94" t="s">
        <v>35</v>
      </c>
      <c r="AR2" s="94" t="s">
        <v>36</v>
      </c>
      <c r="AS2" s="94" t="s">
        <v>37</v>
      </c>
      <c r="AT2" s="94" t="s">
        <v>38</v>
      </c>
      <c r="AU2" s="94" t="s">
        <v>39</v>
      </c>
      <c r="AV2" s="94" t="s">
        <v>40</v>
      </c>
      <c r="AW2" s="94" t="s">
        <v>41</v>
      </c>
      <c r="AX2" s="94" t="s">
        <v>154</v>
      </c>
      <c r="AY2" s="94" t="s">
        <v>43</v>
      </c>
      <c r="AZ2" s="94" t="s">
        <v>44</v>
      </c>
      <c r="BA2" s="94" t="s">
        <v>45</v>
      </c>
      <c r="BB2" s="94" t="s">
        <v>46</v>
      </c>
      <c r="BC2" s="94" t="s">
        <v>47</v>
      </c>
      <c r="BD2" s="94" t="s">
        <v>48</v>
      </c>
      <c r="BE2" s="94" t="s">
        <v>49</v>
      </c>
      <c r="BF2" s="94" t="s">
        <v>50</v>
      </c>
      <c r="BG2" s="93" t="s">
        <v>60</v>
      </c>
      <c r="BH2" s="93" t="s">
        <v>61</v>
      </c>
      <c r="BI2" s="93" t="s">
        <v>51</v>
      </c>
      <c r="BJ2" s="93" t="s">
        <v>62</v>
      </c>
      <c r="BK2" s="93" t="s">
        <v>63</v>
      </c>
      <c r="BL2" s="93" t="s">
        <v>64</v>
      </c>
      <c r="BM2" s="93" t="s">
        <v>65</v>
      </c>
      <c r="BN2" s="93" t="s">
        <v>66</v>
      </c>
      <c r="BO2" s="93" t="s">
        <v>67</v>
      </c>
      <c r="BP2" s="93" t="s">
        <v>68</v>
      </c>
      <c r="BQ2" s="93" t="s">
        <v>69</v>
      </c>
      <c r="BR2" s="92" t="s">
        <v>70</v>
      </c>
      <c r="BS2" s="92" t="s">
        <v>71</v>
      </c>
      <c r="BT2" s="92" t="s">
        <v>72</v>
      </c>
      <c r="BU2" s="92" t="s">
        <v>73</v>
      </c>
      <c r="BV2" s="92" t="s">
        <v>74</v>
      </c>
      <c r="BW2" s="92" t="s">
        <v>75</v>
      </c>
      <c r="BX2" s="92" t="s">
        <v>78</v>
      </c>
      <c r="BY2" s="92" t="s">
        <v>79</v>
      </c>
      <c r="BZ2" s="92" t="s">
        <v>80</v>
      </c>
      <c r="CA2" s="92" t="s">
        <v>54</v>
      </c>
      <c r="CB2" s="92" t="s">
        <v>53</v>
      </c>
      <c r="CC2" s="92" t="s">
        <v>76</v>
      </c>
      <c r="CD2" s="92" t="s">
        <v>77</v>
      </c>
      <c r="CE2" s="92" t="s">
        <v>81</v>
      </c>
      <c r="CF2" s="92" t="s">
        <v>155</v>
      </c>
      <c r="CG2" s="92" t="s">
        <v>150</v>
      </c>
      <c r="CH2" s="92" t="s">
        <v>151</v>
      </c>
      <c r="CI2" s="92" t="s">
        <v>118</v>
      </c>
      <c r="CJ2" s="95"/>
    </row>
    <row r="3" spans="1:88" ht="15.75" thickBot="1" x14ac:dyDescent="0.3">
      <c r="A3" s="241">
        <v>21266989</v>
      </c>
      <c r="B3" s="240">
        <v>45091</v>
      </c>
      <c r="C3" s="240"/>
      <c r="D3" s="240">
        <v>45091</v>
      </c>
      <c r="E3" s="241" t="s">
        <v>169</v>
      </c>
      <c r="F3" s="241" t="s">
        <v>170</v>
      </c>
      <c r="G3" s="241" t="s">
        <v>171</v>
      </c>
      <c r="H3" s="241" t="s">
        <v>172</v>
      </c>
      <c r="I3" s="241" t="s">
        <v>173</v>
      </c>
      <c r="J3" s="241">
        <v>21266989</v>
      </c>
      <c r="K3" s="241" t="s">
        <v>52</v>
      </c>
      <c r="L3" s="241" t="s">
        <v>52</v>
      </c>
      <c r="M3" s="241" t="s">
        <v>52</v>
      </c>
      <c r="N3" s="241" t="s">
        <v>52</v>
      </c>
      <c r="O3" s="241" t="s">
        <v>52</v>
      </c>
      <c r="P3" s="241" t="s">
        <v>52</v>
      </c>
      <c r="Q3" s="241" t="s">
        <v>52</v>
      </c>
      <c r="R3" s="241" t="s">
        <v>52</v>
      </c>
      <c r="S3" s="241" t="s">
        <v>52</v>
      </c>
      <c r="T3" s="241" t="s">
        <v>52</v>
      </c>
      <c r="U3" s="241" t="s">
        <v>52</v>
      </c>
      <c r="V3" s="241" t="s">
        <v>52</v>
      </c>
      <c r="W3" s="241" t="s">
        <v>52</v>
      </c>
      <c r="X3" s="241" t="s">
        <v>52</v>
      </c>
      <c r="Y3" s="241" t="s">
        <v>174</v>
      </c>
      <c r="Z3" s="241" t="s">
        <v>174</v>
      </c>
      <c r="AA3" s="241" t="s">
        <v>175</v>
      </c>
      <c r="AB3" s="241" t="s">
        <v>175</v>
      </c>
      <c r="AC3" s="241" t="s">
        <v>175</v>
      </c>
      <c r="AD3" s="241" t="s">
        <v>175</v>
      </c>
      <c r="AE3" s="241" t="s">
        <v>175</v>
      </c>
      <c r="AF3" s="241" t="s">
        <v>175</v>
      </c>
      <c r="AG3" s="241" t="s">
        <v>175</v>
      </c>
      <c r="AH3" s="241" t="s">
        <v>175</v>
      </c>
      <c r="AI3" s="241" t="s">
        <v>175</v>
      </c>
      <c r="AJ3" s="241" t="s">
        <v>175</v>
      </c>
      <c r="AK3" s="241" t="s">
        <v>175</v>
      </c>
      <c r="AL3" s="241" t="s">
        <v>175</v>
      </c>
      <c r="AM3" s="241" t="s">
        <v>175</v>
      </c>
      <c r="AN3" s="241" t="s">
        <v>175</v>
      </c>
      <c r="AO3" s="242" t="s">
        <v>176</v>
      </c>
      <c r="AP3" s="242" t="s">
        <v>176</v>
      </c>
      <c r="AQ3" s="241" t="s">
        <v>175</v>
      </c>
      <c r="AR3" s="241" t="s">
        <v>175</v>
      </c>
      <c r="AS3" s="241" t="s">
        <v>175</v>
      </c>
      <c r="AT3" s="241" t="s">
        <v>175</v>
      </c>
      <c r="AU3" s="241" t="s">
        <v>175</v>
      </c>
      <c r="AV3" s="241" t="s">
        <v>175</v>
      </c>
      <c r="AW3" s="241" t="s">
        <v>175</v>
      </c>
      <c r="AX3" s="241" t="s">
        <v>175</v>
      </c>
      <c r="AY3" s="241" t="s">
        <v>175</v>
      </c>
      <c r="AZ3" s="241" t="s">
        <v>175</v>
      </c>
      <c r="BA3" s="241" t="s">
        <v>175</v>
      </c>
      <c r="BB3" s="241" t="s">
        <v>175</v>
      </c>
      <c r="BC3" s="241" t="s">
        <v>175</v>
      </c>
      <c r="BD3" s="241" t="s">
        <v>175</v>
      </c>
      <c r="BE3" s="241" t="s">
        <v>175</v>
      </c>
      <c r="BF3" s="241" t="s">
        <v>175</v>
      </c>
      <c r="BG3" s="241" t="s">
        <v>175</v>
      </c>
      <c r="BH3" s="241" t="s">
        <v>52</v>
      </c>
      <c r="BJ3" s="241"/>
      <c r="BK3" s="241"/>
      <c r="BL3" s="241">
        <v>46</v>
      </c>
      <c r="BM3" s="24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242" t="s">
        <v>176</v>
      </c>
      <c r="BY3" s="131"/>
      <c r="BZ3" s="242" t="s">
        <v>176</v>
      </c>
      <c r="CA3" s="76">
        <f t="shared" ref="CA3" si="0">IF(K3="NO",0,$K$1)+IF(L3="NO",0,$L$1)+IF(M3="NO",0,$M$1)+IF(N3="NO",0,$N$1)+IF(O3="NO",0,$O$1)+IF(P3="NO",0,$P$1)+IF(Q3="NO",0,$Q$1)+IF(R3="NO",0,$R$1)+IF(S3="NO",0,$S$1)+IF(T3="NO",0,$T$1)+IF(U3="NO",0,$U$1)+IF(V3="NO",0,$V$1)+IF(W3="NO",0,$W$1)+IF(X3="NO",0,$X$1)+IF(Y3="NO",0,$Y$1)+IF(Z3="NO",0,$Z$1)+IF(AA3="NO",$AA$1,IF(AB3="NO",0,$AB$1)+IF(AC3="NO",0,$AC$1)+IF(AD3="NO",0,$AD$1)+IF(AE3="NO",0,$AE$1)+IF(AF3="NO",0,$AF$1)+IF(AG3="NO",0,$AG$1)+IF(AH3="NO",0,$AH$1)+IF(AI3="NO",0,$AI$1)+IF(AJ3="NO",0,$AJ$1)+IF(AK3="NO",0,$AK$1)+IF(AL3="NO",0,$AL$1)+IF(AM3="NO",0,$AM$1)+IF(AN3="NO",0,$AN$1))</f>
        <v>90</v>
      </c>
      <c r="CB3" s="76">
        <f t="shared" ref="CB3" si="1">IF(AQ3="NO",0,$AQ$1)+IF(AR3="NO",0,$AR$1)+IF(AS3="NO",0,$AS$1)+IF(AT3="NO",0,$AT$1)+IF(AU3="NO",0,$AU$1)+IF(AV3="NO",0,$AV$1)+IF(AW3="NO",0,$AW$1)+IF(AX3="NO",0,$AX$1)+IF(AY3="NO",0,$AY$1)+IF(AZ3="NO",0,$AZ$1)+IF(BA3="NO",0,$BA$1)+IF(BB3="NO",0,$BB$1)+IF(BC3="NO",0,$BC$1)+IF(BD3="NO",0,$BD$1)+IF(BE3="NO",0,$BE$1)+IF(BF3="NO",0,$BF$1)</f>
        <v>100</v>
      </c>
      <c r="CC3" s="76">
        <f>IF(BG3="NO",0,$BG$1)+IF(BH3="NO",0,$BH$1)+IF(BX3="NO",0,$BI$1)+IF(BJ3="NO",0,$BJ$1)+IF(BK3="NO",0,$BK$1)+IF(BL3="NO",0,$BL$1)+IF(BM3="NO",0,$BM$1)+IF(BN3="NO",0,$BN$1)+IF(BO3="NO",0,$BO$1)+IF(BP3="NO",0,$BP$1)+IF(BQ3="NO",0,$BQ$1)</f>
        <v>100</v>
      </c>
      <c r="CD3" s="76">
        <f t="shared" ref="CD3" si="2">IF(BR3="NO",0,$BR$1)+IF(BS3="NO",0,$BS$1)+IF(BT3="NO",0,$BT$1)+IF(BU3="NO",0,$BU$1)+IF(BV3="NO",0,$BV$1)+IF(BW3="NO",0,$BW$1)</f>
        <v>100</v>
      </c>
      <c r="CE3" s="76">
        <f t="shared" ref="CE3" si="3">IF(BY3="NO",0,$BY$1)</f>
        <v>100</v>
      </c>
      <c r="CF3" s="76">
        <v>1</v>
      </c>
      <c r="CG3" s="76" t="s">
        <v>136</v>
      </c>
      <c r="CH3" s="76"/>
      <c r="CI3" s="181"/>
    </row>
    <row r="4" spans="1:88" ht="15.75" thickBot="1" x14ac:dyDescent="0.3">
      <c r="A4" s="131"/>
      <c r="B4" s="132"/>
      <c r="C4" s="132"/>
      <c r="D4" s="132"/>
      <c r="E4" s="133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4"/>
      <c r="AP4" s="134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4"/>
      <c r="BY4" s="131"/>
      <c r="BZ4" s="134"/>
      <c r="CA4" s="76">
        <f>IF(K4="NO",0,$K$1)+IF(L4="NO",0,$L$1)+IF(M4="NO",0,$M$1)+IF(N4="NO",0,$N$1)+IF(O4="NO",0,$O$1)+IF(P4="NO",0,$P$1)+IF(Q4="NO",0,$Q$1)+IF(R4="NO",0,$R$1)+IF(S4="NO",0,$S$1)+IF(T4="NO",0,$T$1)+IF(U4="NO",0,$U$1)+IF(V4="NO",0,$V$1)+IF(W4="NO",0,$W$1)+IF(X4="NO",0,$X$1)+IF(Y4="NO",0,$Y$1)+IF(Z4="NO",0,$Z$1)+IF(AA4="NO",$AA$1,IF(AB4="NO",0,$AB$1)+IF(AC4="NO",0,$AC$1)+IF(AD4="NO",0,$AD$1)+IF(AE4="NO",0,$AE$1)+IF(AF4="NO",0,$AF$1)+IF(AG4="NO",0,$AG$1)+IF(AH4="NO",0,$AH$1)+IF(AI4="NO",0,$AI$1)+IF(AJ4="NO",0,$AJ$1)+IF(AK4="NO",0,$AK$1)+IF(AL4="NO",0,$AL$1)+IF(AM4="NO",0,$AM$1)+IF(AN4="NO",0,$AN$1))</f>
        <v>100</v>
      </c>
      <c r="CB4" s="76">
        <f t="shared" ref="CB4:CB5" si="4">IF(AQ4="NO",0,$AQ$1)+IF(AR4="NO",0,$AR$1)+IF(AS4="NO",0,$AS$1)+IF(AT4="NO",0,$AT$1)+IF(AU4="NO",0,$AU$1)+IF(AV4="NO",0,$AV$1)+IF(AW4="NO",0,$AW$1)+IF(AX4="NO",0,$AX$1)+IF(AY4="NO",0,$AY$1)+IF(AZ4="NO",0,$AZ$1)+IF(BA4="NO",0,$BA$1)+IF(BB4="NO",0,$BB$1)+IF(BC4="NO",0,$BC$1)+IF(BD4="NO",0,$BD$1)+IF(BE4="NO",0,$BE$1)+IF(BF4="NO",0,$BF$1)</f>
        <v>100</v>
      </c>
      <c r="CC4" s="76">
        <f t="shared" ref="CC4:CC5" si="5">IF(BG4="NO",0,$BG$1)+IF(BH4="NO",0,$BH$1)+IF(BI4="NO",0,$BI$1)+IF(BJ4="NO",0,$BJ$1)+IF(BK4="NO",0,$BK$1)+IF(BL4="NO",0,$BL$1)+IF(BM4="NO",0,$BM$1)+IF(BN4="NO",0,$BN$1)+IF(BO4="NO",0,$BO$1)+IF(BP4="NO",0,$BP$1)+IF(BQ4="NO",0,$BQ$1)</f>
        <v>100</v>
      </c>
      <c r="CD4" s="76">
        <f t="shared" ref="CD4:CD5" si="6">IF(BR4="NO",0,$BR$1)+IF(BS4="NO",0,$BS$1)+IF(BT4="NO",0,$BT$1)+IF(BU4="NO",0,$BU$1)+IF(BV4="NO",0,$BV$1)+IF(BW4="NO",0,$BW$1)</f>
        <v>100</v>
      </c>
      <c r="CE4" s="76">
        <f t="shared" ref="CE4:CE5" si="7">IF(BY4="NO",0,$BY$1)</f>
        <v>100</v>
      </c>
      <c r="CF4" s="76">
        <v>2</v>
      </c>
      <c r="CG4" s="76" t="s">
        <v>136</v>
      </c>
      <c r="CH4" s="76"/>
      <c r="CI4" s="181"/>
    </row>
    <row r="5" spans="1:88" ht="15.75" thickBot="1" x14ac:dyDescent="0.3">
      <c r="A5" s="131"/>
      <c r="B5" s="132"/>
      <c r="C5" s="132"/>
      <c r="D5" s="132"/>
      <c r="E5" s="133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4"/>
      <c r="AP5" s="134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31"/>
      <c r="BR5" s="131"/>
      <c r="BS5" s="131"/>
      <c r="BT5" s="131"/>
      <c r="BU5" s="131"/>
      <c r="BV5" s="131"/>
      <c r="BW5" s="131"/>
      <c r="BX5" s="134"/>
      <c r="BY5" s="131"/>
      <c r="BZ5" s="134"/>
      <c r="CA5" s="76">
        <f t="shared" ref="CA5:CA60" si="8">IF(K5="NO",0,$K$1)+IF(L5="NO",0,$L$1)+IF(M5="NO",0,$M$1)+IF(N5="NO",0,$N$1)+IF(O5="NO",0,$O$1)+IF(P5="NO",0,$P$1)+IF(Q5="NO",0,$Q$1)+IF(R5="NO",0,$R$1)+IF(S5="NO",0,$S$1)+IF(T5="NO",0,$T$1)+IF(U5="NO",0,$U$1)+IF(V5="NO",0,$V$1)+IF(W5="NO",0,$W$1)+IF(X5="NO",0,$X$1)+IF(Y5="NO",0,$Y$1)+IF(Z5="NO",0,$Z$1)+IF(AA5="NO",$AA$1,IF(AB5="NO",0,$AB$1)+IF(AC5="NO",0,$AC$1)+IF(AD5="NO",0,$AD$1)+IF(AE5="NO",0,$AE$1)+IF(AF5="NO",0,$AF$1)+IF(AG5="NO",0,$AG$1)+IF(AH5="NO",0,$AH$1)+IF(AI5="NO",0,$AI$1)+IF(AJ5="NO",0,$AJ$1)+IF(AK5="NO",0,$AK$1)+IF(AL5="NO",0,$AL$1)+IF(AM5="NO",0,$AM$1)+IF(AN5="NO",0,$AN$1))</f>
        <v>100</v>
      </c>
      <c r="CB5" s="76">
        <f t="shared" si="4"/>
        <v>100</v>
      </c>
      <c r="CC5" s="76">
        <f t="shared" si="5"/>
        <v>100</v>
      </c>
      <c r="CD5" s="76">
        <f t="shared" si="6"/>
        <v>100</v>
      </c>
      <c r="CE5" s="76">
        <f t="shared" si="7"/>
        <v>100</v>
      </c>
      <c r="CF5" s="76">
        <v>3</v>
      </c>
      <c r="CG5" s="76" t="s">
        <v>136</v>
      </c>
      <c r="CH5" s="76"/>
      <c r="CI5" s="181"/>
    </row>
    <row r="6" spans="1:88" ht="15.75" thickBot="1" x14ac:dyDescent="0.3">
      <c r="A6" s="131"/>
      <c r="B6" s="132"/>
      <c r="C6" s="132"/>
      <c r="D6" s="132"/>
      <c r="E6" s="133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4"/>
      <c r="AP6" s="134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/>
      <c r="BM6" s="131"/>
      <c r="BN6" s="131"/>
      <c r="BO6" s="131"/>
      <c r="BP6" s="131"/>
      <c r="BQ6" s="131"/>
      <c r="BR6" s="131"/>
      <c r="BS6" s="131"/>
      <c r="BT6" s="131"/>
      <c r="BU6" s="131"/>
      <c r="BV6" s="131"/>
      <c r="BW6" s="131"/>
      <c r="BX6" s="134"/>
      <c r="BY6" s="131"/>
      <c r="BZ6" s="134"/>
      <c r="CA6" s="76">
        <f t="shared" si="8"/>
        <v>100</v>
      </c>
      <c r="CB6" s="76">
        <f t="shared" ref="CB6:CB60" si="9">IF(AQ6="NO",0,$AQ$1)+IF(AR6="NO",0,$AR$1)+IF(AS6="NO",0,$AS$1)+IF(AT6="NO",0,$AT$1)+IF(AU6="NO",0,$AU$1)+IF(AV6="NO",0,$AV$1)+IF(AW6="NO",0,$AW$1)+IF(AX6="NO",0,$AX$1)+IF(AY6="NO",0,$AY$1)+IF(AZ6="NO",0,$AZ$1)+IF(BA6="NO",0,$BA$1)+IF(BB6="NO",0,$BB$1)+IF(BC6="NO",0,$BC$1)+IF(BD6="NO",0,$BD$1)+IF(BE6="NO",0,$BE$1)+IF(BF6="NO",0,$BF$1)</f>
        <v>100</v>
      </c>
      <c r="CC6" s="76">
        <f t="shared" ref="CC6:CC60" si="10">IF(BG6="NO",0,$BG$1)+IF(BH6="NO",0,$BH$1)+IF(BI6="NO",0,$BI$1)+IF(BJ6="NO",0,$BJ$1)+IF(BK6="NO",0,$BK$1)+IF(BL6="NO",0,$BL$1)+IF(BM6="NO",0,$BM$1)+IF(BN6="NO",0,$BN$1)+IF(BO6="NO",0,$BO$1)+IF(BP6="NO",0,$BP$1)+IF(BQ6="NO",0,$BQ$1)</f>
        <v>100</v>
      </c>
      <c r="CD6" s="76">
        <f t="shared" ref="CD6:CD60" si="11">IF(BR6="NO",0,$BR$1)+IF(BS6="NO",0,$BS$1)+IF(BT6="NO",0,$BT$1)+IF(BU6="NO",0,$BU$1)+IF(BV6="NO",0,$BV$1)+IF(BW6="NO",0,$BW$1)</f>
        <v>100</v>
      </c>
      <c r="CE6" s="76">
        <f t="shared" ref="CE6:CE60" si="12">IF(BY6="NO",0,$BY$1)</f>
        <v>100</v>
      </c>
      <c r="CF6" s="76">
        <v>4</v>
      </c>
      <c r="CG6" s="76" t="s">
        <v>136</v>
      </c>
      <c r="CH6" s="76"/>
      <c r="CI6" s="181"/>
    </row>
    <row r="7" spans="1:88" ht="15.75" thickBot="1" x14ac:dyDescent="0.3">
      <c r="A7" s="131"/>
      <c r="B7" s="132"/>
      <c r="C7" s="132"/>
      <c r="D7" s="132"/>
      <c r="E7" s="133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4"/>
      <c r="AP7" s="134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4"/>
      <c r="BY7" s="131"/>
      <c r="BZ7" s="134"/>
      <c r="CA7" s="76">
        <f t="shared" si="8"/>
        <v>100</v>
      </c>
      <c r="CB7" s="76">
        <f t="shared" si="9"/>
        <v>100</v>
      </c>
      <c r="CC7" s="76">
        <f t="shared" si="10"/>
        <v>100</v>
      </c>
      <c r="CD7" s="76">
        <f t="shared" si="11"/>
        <v>100</v>
      </c>
      <c r="CE7" s="76">
        <f t="shared" si="12"/>
        <v>100</v>
      </c>
      <c r="CF7" s="76">
        <v>5</v>
      </c>
      <c r="CG7" s="76" t="s">
        <v>136</v>
      </c>
      <c r="CH7" s="76"/>
      <c r="CI7" s="181"/>
    </row>
    <row r="8" spans="1:88" ht="15.75" thickBot="1" x14ac:dyDescent="0.3">
      <c r="A8" s="131"/>
      <c r="B8" s="132"/>
      <c r="C8" s="132"/>
      <c r="D8" s="132"/>
      <c r="E8" s="133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4"/>
      <c r="AP8" s="134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1"/>
      <c r="BQ8" s="131"/>
      <c r="BR8" s="131"/>
      <c r="BS8" s="131"/>
      <c r="BT8" s="131"/>
      <c r="BU8" s="131"/>
      <c r="BV8" s="131"/>
      <c r="BW8" s="131"/>
      <c r="BX8" s="134"/>
      <c r="BY8" s="131"/>
      <c r="BZ8" s="134"/>
      <c r="CA8" s="76">
        <f t="shared" si="8"/>
        <v>100</v>
      </c>
      <c r="CB8" s="76">
        <f t="shared" si="9"/>
        <v>100</v>
      </c>
      <c r="CC8" s="76">
        <f t="shared" si="10"/>
        <v>100</v>
      </c>
      <c r="CD8" s="76">
        <f t="shared" si="11"/>
        <v>100</v>
      </c>
      <c r="CE8" s="76">
        <f t="shared" si="12"/>
        <v>100</v>
      </c>
      <c r="CF8" s="76">
        <v>6</v>
      </c>
      <c r="CG8" s="76" t="s">
        <v>136</v>
      </c>
      <c r="CH8" s="76"/>
      <c r="CI8" s="181"/>
    </row>
    <row r="9" spans="1:88" ht="15.75" thickBot="1" x14ac:dyDescent="0.3">
      <c r="A9" s="131"/>
      <c r="B9" s="132"/>
      <c r="C9" s="132"/>
      <c r="D9" s="132"/>
      <c r="E9" s="133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  <c r="AO9" s="134"/>
      <c r="AP9" s="134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1"/>
      <c r="BQ9" s="131"/>
      <c r="BR9" s="131"/>
      <c r="BS9" s="131"/>
      <c r="BT9" s="131"/>
      <c r="BU9" s="131"/>
      <c r="BV9" s="131"/>
      <c r="BW9" s="131"/>
      <c r="BX9" s="134"/>
      <c r="BY9" s="131"/>
      <c r="BZ9" s="134"/>
      <c r="CA9" s="76">
        <f t="shared" si="8"/>
        <v>100</v>
      </c>
      <c r="CB9" s="76">
        <f t="shared" si="9"/>
        <v>100</v>
      </c>
      <c r="CC9" s="76">
        <f t="shared" si="10"/>
        <v>100</v>
      </c>
      <c r="CD9" s="76">
        <f t="shared" si="11"/>
        <v>100</v>
      </c>
      <c r="CE9" s="76">
        <f t="shared" si="12"/>
        <v>100</v>
      </c>
      <c r="CF9" s="76">
        <v>7</v>
      </c>
      <c r="CG9" s="76" t="s">
        <v>136</v>
      </c>
      <c r="CH9" s="76"/>
      <c r="CI9" s="181"/>
    </row>
    <row r="10" spans="1:88" ht="15.75" thickBot="1" x14ac:dyDescent="0.3">
      <c r="A10" s="131"/>
      <c r="B10" s="132"/>
      <c r="C10" s="132"/>
      <c r="D10" s="132"/>
      <c r="E10" s="133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4"/>
      <c r="AP10" s="134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4"/>
      <c r="BY10" s="131"/>
      <c r="BZ10" s="134"/>
      <c r="CA10" s="76">
        <f t="shared" si="8"/>
        <v>100</v>
      </c>
      <c r="CB10" s="76">
        <f t="shared" si="9"/>
        <v>100</v>
      </c>
      <c r="CC10" s="76">
        <f t="shared" si="10"/>
        <v>100</v>
      </c>
      <c r="CD10" s="76">
        <f t="shared" si="11"/>
        <v>100</v>
      </c>
      <c r="CE10" s="76">
        <f t="shared" si="12"/>
        <v>100</v>
      </c>
      <c r="CF10" s="76">
        <v>8</v>
      </c>
      <c r="CG10" s="76" t="s">
        <v>136</v>
      </c>
      <c r="CH10" s="76"/>
      <c r="CI10" s="181"/>
    </row>
    <row r="11" spans="1:88" ht="15.75" thickBot="1" x14ac:dyDescent="0.3">
      <c r="A11" s="131"/>
      <c r="B11" s="132"/>
      <c r="C11" s="132"/>
      <c r="D11" s="132"/>
      <c r="E11" s="133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4"/>
      <c r="AP11" s="134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4"/>
      <c r="BY11" s="131"/>
      <c r="BZ11" s="134"/>
      <c r="CA11" s="76">
        <f t="shared" si="8"/>
        <v>100</v>
      </c>
      <c r="CB11" s="76">
        <f t="shared" si="9"/>
        <v>100</v>
      </c>
      <c r="CC11" s="76">
        <f t="shared" si="10"/>
        <v>100</v>
      </c>
      <c r="CD11" s="76">
        <f t="shared" si="11"/>
        <v>100</v>
      </c>
      <c r="CE11" s="76">
        <f t="shared" si="12"/>
        <v>100</v>
      </c>
      <c r="CF11" s="76">
        <v>9</v>
      </c>
      <c r="CG11" s="76" t="s">
        <v>136</v>
      </c>
      <c r="CH11" s="76"/>
      <c r="CI11" s="181"/>
    </row>
    <row r="12" spans="1:88" ht="15.75" thickBot="1" x14ac:dyDescent="0.3">
      <c r="A12" s="131"/>
      <c r="B12" s="132"/>
      <c r="C12" s="132"/>
      <c r="D12" s="132"/>
      <c r="E12" s="133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4"/>
      <c r="AP12" s="134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4"/>
      <c r="BY12" s="131"/>
      <c r="BZ12" s="134"/>
      <c r="CA12" s="76">
        <f t="shared" si="8"/>
        <v>100</v>
      </c>
      <c r="CB12" s="76">
        <f t="shared" si="9"/>
        <v>100</v>
      </c>
      <c r="CC12" s="76">
        <f t="shared" si="10"/>
        <v>100</v>
      </c>
      <c r="CD12" s="76">
        <f t="shared" si="11"/>
        <v>100</v>
      </c>
      <c r="CE12" s="76">
        <f t="shared" si="12"/>
        <v>100</v>
      </c>
      <c r="CF12" s="76">
        <v>10</v>
      </c>
      <c r="CG12" s="76" t="s">
        <v>136</v>
      </c>
      <c r="CH12" s="76"/>
      <c r="CI12" s="181"/>
    </row>
    <row r="13" spans="1:88" ht="15.75" thickBot="1" x14ac:dyDescent="0.3">
      <c r="A13" s="131"/>
      <c r="B13" s="132"/>
      <c r="C13" s="132"/>
      <c r="D13" s="132"/>
      <c r="E13" s="133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/>
      <c r="AO13" s="134"/>
      <c r="AP13" s="134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1"/>
      <c r="BD13" s="131"/>
      <c r="BE13" s="131"/>
      <c r="BF13" s="131"/>
      <c r="BG13" s="131"/>
      <c r="BH13" s="131"/>
      <c r="BI13" s="131"/>
      <c r="BJ13" s="131"/>
      <c r="BK13" s="131"/>
      <c r="BL13" s="131"/>
      <c r="BM13" s="131"/>
      <c r="BN13" s="131"/>
      <c r="BO13" s="131"/>
      <c r="BP13" s="131"/>
      <c r="BQ13" s="131"/>
      <c r="BR13" s="131"/>
      <c r="BS13" s="131"/>
      <c r="BT13" s="131"/>
      <c r="BU13" s="131"/>
      <c r="BV13" s="131"/>
      <c r="BW13" s="131"/>
      <c r="BX13" s="134"/>
      <c r="BY13" s="131"/>
      <c r="BZ13" s="134"/>
      <c r="CA13" s="76">
        <f t="shared" si="8"/>
        <v>100</v>
      </c>
      <c r="CB13" s="76">
        <f t="shared" si="9"/>
        <v>100</v>
      </c>
      <c r="CC13" s="76">
        <f t="shared" si="10"/>
        <v>100</v>
      </c>
      <c r="CD13" s="76">
        <f t="shared" si="11"/>
        <v>100</v>
      </c>
      <c r="CE13" s="76">
        <f t="shared" si="12"/>
        <v>100</v>
      </c>
      <c r="CF13" s="76">
        <v>11</v>
      </c>
      <c r="CG13" s="76" t="s">
        <v>136</v>
      </c>
      <c r="CH13" s="76"/>
      <c r="CI13" s="181"/>
    </row>
    <row r="14" spans="1:88" ht="15.75" thickBot="1" x14ac:dyDescent="0.3">
      <c r="A14" s="131"/>
      <c r="B14" s="132"/>
      <c r="C14" s="132"/>
      <c r="D14" s="132"/>
      <c r="E14" s="133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O14" s="134"/>
      <c r="AP14" s="134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1"/>
      <c r="BD14" s="131"/>
      <c r="BE14" s="131"/>
      <c r="BF14" s="131"/>
      <c r="BG14" s="131"/>
      <c r="BH14" s="131"/>
      <c r="BI14" s="131"/>
      <c r="BJ14" s="131"/>
      <c r="BK14" s="131"/>
      <c r="BL14" s="131"/>
      <c r="BM14" s="131"/>
      <c r="BN14" s="131"/>
      <c r="BO14" s="131"/>
      <c r="BP14" s="131"/>
      <c r="BQ14" s="131"/>
      <c r="BR14" s="131"/>
      <c r="BS14" s="131"/>
      <c r="BT14" s="131"/>
      <c r="BU14" s="131"/>
      <c r="BV14" s="131"/>
      <c r="BW14" s="131"/>
      <c r="BX14" s="134"/>
      <c r="BY14" s="131"/>
      <c r="BZ14" s="134"/>
      <c r="CA14" s="76">
        <f t="shared" si="8"/>
        <v>100</v>
      </c>
      <c r="CB14" s="76">
        <f t="shared" si="9"/>
        <v>100</v>
      </c>
      <c r="CC14" s="76">
        <f t="shared" si="10"/>
        <v>100</v>
      </c>
      <c r="CD14" s="76">
        <f t="shared" si="11"/>
        <v>100</v>
      </c>
      <c r="CE14" s="76">
        <f t="shared" si="12"/>
        <v>100</v>
      </c>
      <c r="CF14" s="76">
        <v>12</v>
      </c>
      <c r="CG14" s="76" t="s">
        <v>136</v>
      </c>
      <c r="CH14" s="76"/>
      <c r="CI14" s="181"/>
    </row>
    <row r="15" spans="1:88" ht="15.75" thickBot="1" x14ac:dyDescent="0.3">
      <c r="A15" s="131"/>
      <c r="B15" s="132"/>
      <c r="C15" s="132"/>
      <c r="D15" s="132"/>
      <c r="E15" s="133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1"/>
      <c r="AL15" s="131"/>
      <c r="AM15" s="131"/>
      <c r="AN15" s="131"/>
      <c r="AO15" s="134"/>
      <c r="AP15" s="134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1"/>
      <c r="BD15" s="131"/>
      <c r="BE15" s="131"/>
      <c r="BF15" s="131"/>
      <c r="BG15" s="131"/>
      <c r="BH15" s="131"/>
      <c r="BI15" s="131"/>
      <c r="BJ15" s="131"/>
      <c r="BK15" s="131"/>
      <c r="BL15" s="131"/>
      <c r="BM15" s="131"/>
      <c r="BN15" s="131"/>
      <c r="BO15" s="131"/>
      <c r="BP15" s="131"/>
      <c r="BQ15" s="131"/>
      <c r="BR15" s="131"/>
      <c r="BS15" s="131"/>
      <c r="BT15" s="131"/>
      <c r="BU15" s="131"/>
      <c r="BV15" s="131"/>
      <c r="BW15" s="131"/>
      <c r="BX15" s="134"/>
      <c r="BY15" s="131"/>
      <c r="BZ15" s="134"/>
      <c r="CA15" s="76">
        <f t="shared" si="8"/>
        <v>100</v>
      </c>
      <c r="CB15" s="76">
        <f t="shared" si="9"/>
        <v>100</v>
      </c>
      <c r="CC15" s="76">
        <f t="shared" si="10"/>
        <v>100</v>
      </c>
      <c r="CD15" s="76">
        <f t="shared" si="11"/>
        <v>100</v>
      </c>
      <c r="CE15" s="76">
        <f t="shared" si="12"/>
        <v>100</v>
      </c>
      <c r="CF15" s="76">
        <v>13</v>
      </c>
      <c r="CG15" s="76" t="s">
        <v>136</v>
      </c>
      <c r="CH15" s="76"/>
      <c r="CI15" s="181"/>
    </row>
    <row r="16" spans="1:88" ht="15.75" thickBot="1" x14ac:dyDescent="0.3">
      <c r="A16" s="131"/>
      <c r="B16" s="132"/>
      <c r="C16" s="132"/>
      <c r="D16" s="132"/>
      <c r="E16" s="133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4"/>
      <c r="AP16" s="134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1"/>
      <c r="BD16" s="131"/>
      <c r="BE16" s="131"/>
      <c r="BF16" s="131"/>
      <c r="BG16" s="131"/>
      <c r="BH16" s="131"/>
      <c r="BI16" s="131"/>
      <c r="BJ16" s="131"/>
      <c r="BK16" s="131"/>
      <c r="BL16" s="131"/>
      <c r="BM16" s="131"/>
      <c r="BN16" s="131"/>
      <c r="BO16" s="131"/>
      <c r="BP16" s="131"/>
      <c r="BQ16" s="131"/>
      <c r="BR16" s="131"/>
      <c r="BS16" s="131"/>
      <c r="BT16" s="131"/>
      <c r="BU16" s="131"/>
      <c r="BV16" s="131"/>
      <c r="BW16" s="131"/>
      <c r="BX16" s="134"/>
      <c r="BY16" s="131"/>
      <c r="BZ16" s="134"/>
      <c r="CA16" s="76">
        <f t="shared" si="8"/>
        <v>100</v>
      </c>
      <c r="CB16" s="76">
        <f t="shared" si="9"/>
        <v>100</v>
      </c>
      <c r="CC16" s="76">
        <f t="shared" si="10"/>
        <v>100</v>
      </c>
      <c r="CD16" s="76">
        <f t="shared" si="11"/>
        <v>100</v>
      </c>
      <c r="CE16" s="76">
        <f t="shared" si="12"/>
        <v>100</v>
      </c>
      <c r="CF16" s="76">
        <v>14</v>
      </c>
      <c r="CG16" s="76" t="s">
        <v>136</v>
      </c>
      <c r="CH16" s="76"/>
      <c r="CI16" s="181"/>
    </row>
    <row r="17" spans="1:87" ht="15.75" thickBot="1" x14ac:dyDescent="0.3">
      <c r="A17" s="131"/>
      <c r="B17" s="132"/>
      <c r="C17" s="132"/>
      <c r="D17" s="132"/>
      <c r="E17" s="133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1"/>
      <c r="AK17" s="131"/>
      <c r="AL17" s="131"/>
      <c r="AM17" s="131"/>
      <c r="AN17" s="131"/>
      <c r="AO17" s="134"/>
      <c r="AP17" s="134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/>
      <c r="BD17" s="131"/>
      <c r="BE17" s="131"/>
      <c r="BF17" s="131"/>
      <c r="BG17" s="131"/>
      <c r="BH17" s="131"/>
      <c r="BI17" s="131"/>
      <c r="BJ17" s="131"/>
      <c r="BK17" s="131"/>
      <c r="BL17" s="131"/>
      <c r="BM17" s="131"/>
      <c r="BN17" s="131"/>
      <c r="BO17" s="131"/>
      <c r="BP17" s="131"/>
      <c r="BQ17" s="131"/>
      <c r="BR17" s="131"/>
      <c r="BS17" s="131"/>
      <c r="BT17" s="131"/>
      <c r="BU17" s="131"/>
      <c r="BV17" s="131"/>
      <c r="BW17" s="131"/>
      <c r="BX17" s="134"/>
      <c r="BY17" s="131"/>
      <c r="BZ17" s="134"/>
      <c r="CA17" s="76">
        <f t="shared" si="8"/>
        <v>100</v>
      </c>
      <c r="CB17" s="76">
        <f t="shared" si="9"/>
        <v>100</v>
      </c>
      <c r="CC17" s="76">
        <f t="shared" si="10"/>
        <v>100</v>
      </c>
      <c r="CD17" s="76">
        <f t="shared" si="11"/>
        <v>100</v>
      </c>
      <c r="CE17" s="76">
        <f t="shared" si="12"/>
        <v>100</v>
      </c>
      <c r="CF17" s="76">
        <v>15</v>
      </c>
      <c r="CG17" s="76" t="s">
        <v>136</v>
      </c>
      <c r="CH17" s="76"/>
      <c r="CI17" s="181"/>
    </row>
    <row r="18" spans="1:87" ht="15.75" thickBot="1" x14ac:dyDescent="0.3">
      <c r="A18" s="131"/>
      <c r="B18" s="132"/>
      <c r="C18" s="132"/>
      <c r="D18" s="132"/>
      <c r="E18" s="133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4"/>
      <c r="AP18" s="134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/>
      <c r="BD18" s="131"/>
      <c r="BE18" s="131"/>
      <c r="BF18" s="131"/>
      <c r="BG18" s="131"/>
      <c r="BH18" s="131"/>
      <c r="BI18" s="131"/>
      <c r="BJ18" s="131"/>
      <c r="BK18" s="131"/>
      <c r="BL18" s="131"/>
      <c r="BM18" s="131"/>
      <c r="BN18" s="131"/>
      <c r="BO18" s="131"/>
      <c r="BP18" s="131"/>
      <c r="BQ18" s="131"/>
      <c r="BR18" s="131"/>
      <c r="BS18" s="131"/>
      <c r="BT18" s="131"/>
      <c r="BU18" s="131"/>
      <c r="BV18" s="131"/>
      <c r="BW18" s="131"/>
      <c r="BX18" s="134"/>
      <c r="BY18" s="131"/>
      <c r="BZ18" s="134"/>
      <c r="CA18" s="76">
        <f t="shared" si="8"/>
        <v>100</v>
      </c>
      <c r="CB18" s="76">
        <f t="shared" si="9"/>
        <v>100</v>
      </c>
      <c r="CC18" s="76">
        <f t="shared" si="10"/>
        <v>100</v>
      </c>
      <c r="CD18" s="76">
        <f t="shared" si="11"/>
        <v>100</v>
      </c>
      <c r="CE18" s="76">
        <f t="shared" si="12"/>
        <v>100</v>
      </c>
      <c r="CF18" s="76">
        <v>16</v>
      </c>
      <c r="CG18" s="76" t="s">
        <v>136</v>
      </c>
      <c r="CH18" s="76"/>
      <c r="CI18" s="181"/>
    </row>
    <row r="19" spans="1:87" ht="15.75" thickBot="1" x14ac:dyDescent="0.3">
      <c r="A19" s="131"/>
      <c r="B19" s="132"/>
      <c r="C19" s="132"/>
      <c r="D19" s="132"/>
      <c r="E19" s="133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4"/>
      <c r="AP19" s="134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  <c r="BK19" s="131"/>
      <c r="BL19" s="131"/>
      <c r="BM19" s="131"/>
      <c r="BN19" s="131"/>
      <c r="BO19" s="131"/>
      <c r="BP19" s="131"/>
      <c r="BQ19" s="131"/>
      <c r="BR19" s="131"/>
      <c r="BS19" s="131"/>
      <c r="BT19" s="131"/>
      <c r="BU19" s="131"/>
      <c r="BV19" s="131"/>
      <c r="BW19" s="131"/>
      <c r="BX19" s="134"/>
      <c r="BY19" s="131"/>
      <c r="BZ19" s="134"/>
      <c r="CA19" s="76">
        <f t="shared" si="8"/>
        <v>100</v>
      </c>
      <c r="CB19" s="76">
        <f t="shared" si="9"/>
        <v>100</v>
      </c>
      <c r="CC19" s="76">
        <f t="shared" si="10"/>
        <v>100</v>
      </c>
      <c r="CD19" s="76">
        <f t="shared" si="11"/>
        <v>100</v>
      </c>
      <c r="CE19" s="76">
        <f t="shared" si="12"/>
        <v>100</v>
      </c>
      <c r="CF19" s="76">
        <v>17</v>
      </c>
      <c r="CG19" s="76" t="s">
        <v>136</v>
      </c>
      <c r="CH19" s="76"/>
      <c r="CI19" s="181"/>
    </row>
    <row r="20" spans="1:87" ht="15.75" thickBot="1" x14ac:dyDescent="0.3">
      <c r="A20" s="131"/>
      <c r="B20" s="132"/>
      <c r="C20" s="132"/>
      <c r="D20" s="132"/>
      <c r="E20" s="133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4"/>
      <c r="AP20" s="134"/>
      <c r="AQ20" s="131"/>
      <c r="AR20" s="131"/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1"/>
      <c r="BQ20" s="131"/>
      <c r="BR20" s="131"/>
      <c r="BS20" s="131"/>
      <c r="BT20" s="131"/>
      <c r="BU20" s="131"/>
      <c r="BV20" s="131"/>
      <c r="BW20" s="131"/>
      <c r="BX20" s="134"/>
      <c r="BY20" s="131"/>
      <c r="BZ20" s="134"/>
      <c r="CA20" s="76">
        <f t="shared" si="8"/>
        <v>100</v>
      </c>
      <c r="CB20" s="76">
        <f t="shared" si="9"/>
        <v>100</v>
      </c>
      <c r="CC20" s="76">
        <f t="shared" si="10"/>
        <v>100</v>
      </c>
      <c r="CD20" s="76">
        <f t="shared" si="11"/>
        <v>100</v>
      </c>
      <c r="CE20" s="76">
        <f t="shared" si="12"/>
        <v>100</v>
      </c>
      <c r="CF20" s="76">
        <v>18</v>
      </c>
      <c r="CG20" s="76" t="s">
        <v>136</v>
      </c>
      <c r="CH20" s="76"/>
      <c r="CI20" s="181"/>
    </row>
    <row r="21" spans="1:87" ht="15.75" thickBot="1" x14ac:dyDescent="0.3">
      <c r="A21" s="131"/>
      <c r="B21" s="132"/>
      <c r="C21" s="132"/>
      <c r="D21" s="132"/>
      <c r="E21" s="133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4"/>
      <c r="AP21" s="134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1"/>
      <c r="BQ21" s="131"/>
      <c r="BR21" s="131"/>
      <c r="BS21" s="131"/>
      <c r="BT21" s="131"/>
      <c r="BU21" s="131"/>
      <c r="BV21" s="131"/>
      <c r="BW21" s="131"/>
      <c r="BX21" s="134"/>
      <c r="BY21" s="131"/>
      <c r="BZ21" s="134"/>
      <c r="CA21" s="76">
        <f t="shared" si="8"/>
        <v>100</v>
      </c>
      <c r="CB21" s="76">
        <f t="shared" si="9"/>
        <v>100</v>
      </c>
      <c r="CC21" s="76">
        <f t="shared" si="10"/>
        <v>100</v>
      </c>
      <c r="CD21" s="76">
        <f t="shared" si="11"/>
        <v>100</v>
      </c>
      <c r="CE21" s="76">
        <f t="shared" si="12"/>
        <v>100</v>
      </c>
      <c r="CF21" s="76">
        <v>19</v>
      </c>
      <c r="CG21" s="76" t="s">
        <v>136</v>
      </c>
      <c r="CH21" s="76"/>
      <c r="CI21" s="181"/>
    </row>
    <row r="22" spans="1:87" ht="15.75" thickBot="1" x14ac:dyDescent="0.3">
      <c r="A22" s="131"/>
      <c r="B22" s="132"/>
      <c r="C22" s="132"/>
      <c r="D22" s="132"/>
      <c r="E22" s="133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4"/>
      <c r="AP22" s="134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4"/>
      <c r="BY22" s="131"/>
      <c r="BZ22" s="134"/>
      <c r="CA22" s="76">
        <f t="shared" si="8"/>
        <v>100</v>
      </c>
      <c r="CB22" s="76">
        <f t="shared" si="9"/>
        <v>100</v>
      </c>
      <c r="CC22" s="76">
        <f t="shared" si="10"/>
        <v>100</v>
      </c>
      <c r="CD22" s="76">
        <f t="shared" si="11"/>
        <v>100</v>
      </c>
      <c r="CE22" s="76">
        <f t="shared" si="12"/>
        <v>100</v>
      </c>
      <c r="CF22" s="76">
        <v>20</v>
      </c>
      <c r="CG22" s="76" t="s">
        <v>136</v>
      </c>
      <c r="CH22" s="76"/>
      <c r="CI22" s="181"/>
    </row>
    <row r="23" spans="1:87" ht="15.75" thickBot="1" x14ac:dyDescent="0.3">
      <c r="A23" s="131"/>
      <c r="B23" s="132"/>
      <c r="C23" s="132"/>
      <c r="D23" s="132"/>
      <c r="E23" s="133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4"/>
      <c r="AP23" s="134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1"/>
      <c r="BT23" s="131"/>
      <c r="BU23" s="131"/>
      <c r="BV23" s="131"/>
      <c r="BW23" s="131"/>
      <c r="BX23" s="134"/>
      <c r="BY23" s="131"/>
      <c r="BZ23" s="134"/>
      <c r="CA23" s="76">
        <f t="shared" si="8"/>
        <v>100</v>
      </c>
      <c r="CB23" s="76">
        <f t="shared" si="9"/>
        <v>100</v>
      </c>
      <c r="CC23" s="76">
        <f t="shared" si="10"/>
        <v>100</v>
      </c>
      <c r="CD23" s="76">
        <f t="shared" si="11"/>
        <v>100</v>
      </c>
      <c r="CE23" s="76">
        <f t="shared" si="12"/>
        <v>100</v>
      </c>
      <c r="CF23" s="76">
        <v>21</v>
      </c>
      <c r="CG23" s="76" t="s">
        <v>136</v>
      </c>
      <c r="CH23" s="76"/>
      <c r="CI23" s="181"/>
    </row>
    <row r="24" spans="1:87" ht="15.75" thickBot="1" x14ac:dyDescent="0.3">
      <c r="A24" s="131"/>
      <c r="B24" s="132"/>
      <c r="C24" s="132"/>
      <c r="D24" s="132"/>
      <c r="E24" s="133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4"/>
      <c r="AP24" s="134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4"/>
      <c r="BY24" s="131"/>
      <c r="BZ24" s="134"/>
      <c r="CA24" s="76">
        <f t="shared" si="8"/>
        <v>100</v>
      </c>
      <c r="CB24" s="76">
        <f t="shared" si="9"/>
        <v>100</v>
      </c>
      <c r="CC24" s="76">
        <f t="shared" si="10"/>
        <v>100</v>
      </c>
      <c r="CD24" s="76">
        <f t="shared" si="11"/>
        <v>100</v>
      </c>
      <c r="CE24" s="76">
        <f t="shared" si="12"/>
        <v>100</v>
      </c>
      <c r="CF24" s="76">
        <v>22</v>
      </c>
      <c r="CG24" s="76" t="s">
        <v>136</v>
      </c>
      <c r="CH24" s="76"/>
      <c r="CI24" s="181"/>
    </row>
    <row r="25" spans="1:87" ht="15.75" thickBot="1" x14ac:dyDescent="0.3">
      <c r="A25" s="131"/>
      <c r="B25" s="132"/>
      <c r="C25" s="132"/>
      <c r="D25" s="132"/>
      <c r="E25" s="133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4"/>
      <c r="AP25" s="134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  <c r="BP25" s="131"/>
      <c r="BQ25" s="131"/>
      <c r="BR25" s="131"/>
      <c r="BS25" s="131"/>
      <c r="BT25" s="131"/>
      <c r="BU25" s="131"/>
      <c r="BV25" s="131"/>
      <c r="BW25" s="131"/>
      <c r="BX25" s="134"/>
      <c r="BY25" s="131"/>
      <c r="BZ25" s="134"/>
      <c r="CA25" s="76">
        <f t="shared" si="8"/>
        <v>100</v>
      </c>
      <c r="CB25" s="76">
        <f t="shared" si="9"/>
        <v>100</v>
      </c>
      <c r="CC25" s="76">
        <f t="shared" si="10"/>
        <v>100</v>
      </c>
      <c r="CD25" s="76">
        <f t="shared" si="11"/>
        <v>100</v>
      </c>
      <c r="CE25" s="76">
        <f t="shared" si="12"/>
        <v>100</v>
      </c>
      <c r="CF25" s="76">
        <v>23</v>
      </c>
      <c r="CG25" s="76" t="s">
        <v>136</v>
      </c>
      <c r="CH25" s="76"/>
      <c r="CI25" s="181"/>
    </row>
    <row r="26" spans="1:87" ht="15.75" thickBot="1" x14ac:dyDescent="0.3">
      <c r="A26" s="131"/>
      <c r="B26" s="132"/>
      <c r="C26" s="132"/>
      <c r="D26" s="132"/>
      <c r="E26" s="133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4"/>
      <c r="AP26" s="134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/>
      <c r="BO26" s="131"/>
      <c r="BP26" s="131"/>
      <c r="BQ26" s="131"/>
      <c r="BR26" s="131"/>
      <c r="BS26" s="131"/>
      <c r="BT26" s="131"/>
      <c r="BU26" s="131"/>
      <c r="BV26" s="131"/>
      <c r="BW26" s="131"/>
      <c r="BX26" s="134"/>
      <c r="BY26" s="131"/>
      <c r="BZ26" s="134"/>
      <c r="CA26" s="76">
        <f t="shared" si="8"/>
        <v>100</v>
      </c>
      <c r="CB26" s="76">
        <f t="shared" si="9"/>
        <v>100</v>
      </c>
      <c r="CC26" s="76">
        <f t="shared" si="10"/>
        <v>100</v>
      </c>
      <c r="CD26" s="76">
        <f t="shared" si="11"/>
        <v>100</v>
      </c>
      <c r="CE26" s="76">
        <f t="shared" si="12"/>
        <v>100</v>
      </c>
      <c r="CF26" s="76">
        <v>24</v>
      </c>
      <c r="CG26" s="76" t="s">
        <v>136</v>
      </c>
      <c r="CH26" s="76"/>
      <c r="CI26" s="181"/>
    </row>
    <row r="27" spans="1:87" ht="15.75" thickBot="1" x14ac:dyDescent="0.3">
      <c r="A27" s="131"/>
      <c r="B27" s="132"/>
      <c r="C27" s="132"/>
      <c r="D27" s="132"/>
      <c r="E27" s="133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4"/>
      <c r="AP27" s="134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/>
      <c r="BL27" s="131"/>
      <c r="BM27" s="131"/>
      <c r="BN27" s="131"/>
      <c r="BO27" s="131"/>
      <c r="BP27" s="131"/>
      <c r="BQ27" s="131"/>
      <c r="BR27" s="131"/>
      <c r="BS27" s="131"/>
      <c r="BT27" s="131"/>
      <c r="BU27" s="131"/>
      <c r="BV27" s="131"/>
      <c r="BW27" s="131"/>
      <c r="BX27" s="134"/>
      <c r="BY27" s="131"/>
      <c r="BZ27" s="134"/>
      <c r="CA27" s="76">
        <f t="shared" si="8"/>
        <v>100</v>
      </c>
      <c r="CB27" s="76">
        <f t="shared" si="9"/>
        <v>100</v>
      </c>
      <c r="CC27" s="76">
        <f t="shared" si="10"/>
        <v>100</v>
      </c>
      <c r="CD27" s="76">
        <f t="shared" si="11"/>
        <v>100</v>
      </c>
      <c r="CE27" s="76">
        <f t="shared" si="12"/>
        <v>100</v>
      </c>
      <c r="CF27" s="76">
        <v>25</v>
      </c>
      <c r="CG27" s="76" t="s">
        <v>136</v>
      </c>
      <c r="CH27" s="76"/>
      <c r="CI27" s="181"/>
    </row>
    <row r="28" spans="1:87" ht="15.75" thickBot="1" x14ac:dyDescent="0.3">
      <c r="A28" s="131"/>
      <c r="B28" s="132"/>
      <c r="C28" s="132"/>
      <c r="D28" s="132"/>
      <c r="E28" s="133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4"/>
      <c r="AP28" s="134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/>
      <c r="BM28" s="131"/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4"/>
      <c r="BY28" s="131"/>
      <c r="BZ28" s="134"/>
      <c r="CA28" s="76">
        <f t="shared" si="8"/>
        <v>100</v>
      </c>
      <c r="CB28" s="76">
        <f t="shared" si="9"/>
        <v>100</v>
      </c>
      <c r="CC28" s="76">
        <f t="shared" si="10"/>
        <v>100</v>
      </c>
      <c r="CD28" s="76">
        <f t="shared" si="11"/>
        <v>100</v>
      </c>
      <c r="CE28" s="76">
        <f t="shared" si="12"/>
        <v>100</v>
      </c>
      <c r="CF28" s="76">
        <v>26</v>
      </c>
      <c r="CG28" s="76" t="s">
        <v>136</v>
      </c>
      <c r="CH28" s="76"/>
      <c r="CI28" s="181"/>
    </row>
    <row r="29" spans="1:87" ht="15.75" thickBot="1" x14ac:dyDescent="0.3">
      <c r="A29" s="131"/>
      <c r="B29" s="132"/>
      <c r="C29" s="132"/>
      <c r="D29" s="132"/>
      <c r="E29" s="133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1"/>
      <c r="AK29" s="131"/>
      <c r="AL29" s="131"/>
      <c r="AM29" s="131"/>
      <c r="AN29" s="131"/>
      <c r="AO29" s="134"/>
      <c r="AP29" s="134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/>
      <c r="BO29" s="131"/>
      <c r="BP29" s="131"/>
      <c r="BQ29" s="131"/>
      <c r="BR29" s="131"/>
      <c r="BS29" s="131"/>
      <c r="BT29" s="131"/>
      <c r="BU29" s="131"/>
      <c r="BV29" s="131"/>
      <c r="BW29" s="131"/>
      <c r="BX29" s="134"/>
      <c r="BY29" s="131"/>
      <c r="BZ29" s="134"/>
      <c r="CA29" s="76">
        <f t="shared" si="8"/>
        <v>100</v>
      </c>
      <c r="CB29" s="76">
        <f t="shared" si="9"/>
        <v>100</v>
      </c>
      <c r="CC29" s="76">
        <f t="shared" si="10"/>
        <v>100</v>
      </c>
      <c r="CD29" s="76">
        <f t="shared" si="11"/>
        <v>100</v>
      </c>
      <c r="CE29" s="76">
        <f t="shared" si="12"/>
        <v>100</v>
      </c>
      <c r="CF29" s="76">
        <v>27</v>
      </c>
      <c r="CG29" s="76" t="s">
        <v>136</v>
      </c>
      <c r="CH29" s="76"/>
      <c r="CI29" s="181"/>
    </row>
    <row r="30" spans="1:87" ht="15.75" thickBot="1" x14ac:dyDescent="0.3">
      <c r="A30" s="131"/>
      <c r="B30" s="132"/>
      <c r="C30" s="132"/>
      <c r="D30" s="132"/>
      <c r="E30" s="133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1"/>
      <c r="AK30" s="131"/>
      <c r="AL30" s="131"/>
      <c r="AM30" s="131"/>
      <c r="AN30" s="131"/>
      <c r="AO30" s="134"/>
      <c r="AP30" s="134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/>
      <c r="BO30" s="131"/>
      <c r="BP30" s="131"/>
      <c r="BQ30" s="131"/>
      <c r="BR30" s="131"/>
      <c r="BS30" s="131"/>
      <c r="BT30" s="131"/>
      <c r="BU30" s="131"/>
      <c r="BV30" s="131"/>
      <c r="BW30" s="131"/>
      <c r="BX30" s="134"/>
      <c r="BY30" s="131"/>
      <c r="BZ30" s="134"/>
      <c r="CA30" s="76">
        <f t="shared" si="8"/>
        <v>100</v>
      </c>
      <c r="CB30" s="76">
        <f t="shared" si="9"/>
        <v>100</v>
      </c>
      <c r="CC30" s="76">
        <f t="shared" si="10"/>
        <v>100</v>
      </c>
      <c r="CD30" s="76">
        <f t="shared" si="11"/>
        <v>100</v>
      </c>
      <c r="CE30" s="76">
        <f t="shared" si="12"/>
        <v>100</v>
      </c>
      <c r="CF30" s="76">
        <v>28</v>
      </c>
      <c r="CG30" s="76" t="s">
        <v>136</v>
      </c>
      <c r="CH30" s="76"/>
      <c r="CI30" s="181"/>
    </row>
    <row r="31" spans="1:87" ht="15.75" thickBot="1" x14ac:dyDescent="0.3">
      <c r="A31" s="131"/>
      <c r="B31" s="132"/>
      <c r="C31" s="132"/>
      <c r="D31" s="132"/>
      <c r="E31" s="133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4"/>
      <c r="AP31" s="134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/>
      <c r="BO31" s="131"/>
      <c r="BP31" s="131"/>
      <c r="BQ31" s="131"/>
      <c r="BR31" s="131"/>
      <c r="BS31" s="131"/>
      <c r="BT31" s="131"/>
      <c r="BU31" s="131"/>
      <c r="BV31" s="131"/>
      <c r="BW31" s="131"/>
      <c r="BX31" s="134"/>
      <c r="BY31" s="131"/>
      <c r="BZ31" s="134"/>
      <c r="CA31" s="76">
        <f t="shared" si="8"/>
        <v>100</v>
      </c>
      <c r="CB31" s="76">
        <f t="shared" si="9"/>
        <v>100</v>
      </c>
      <c r="CC31" s="76">
        <f t="shared" si="10"/>
        <v>100</v>
      </c>
      <c r="CD31" s="76">
        <f t="shared" si="11"/>
        <v>100</v>
      </c>
      <c r="CE31" s="76">
        <f t="shared" si="12"/>
        <v>100</v>
      </c>
      <c r="CF31" s="76">
        <v>29</v>
      </c>
      <c r="CG31" s="76" t="s">
        <v>136</v>
      </c>
      <c r="CH31" s="76"/>
      <c r="CI31" s="181"/>
    </row>
    <row r="32" spans="1:87" ht="15.75" thickBot="1" x14ac:dyDescent="0.3">
      <c r="A32" s="131"/>
      <c r="B32" s="132"/>
      <c r="C32" s="132"/>
      <c r="D32" s="132"/>
      <c r="E32" s="133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4"/>
      <c r="AP32" s="134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/>
      <c r="BO32" s="131"/>
      <c r="BP32" s="131"/>
      <c r="BQ32" s="131"/>
      <c r="BR32" s="131"/>
      <c r="BS32" s="131"/>
      <c r="BT32" s="131"/>
      <c r="BU32" s="131"/>
      <c r="BV32" s="131"/>
      <c r="BW32" s="131"/>
      <c r="BX32" s="134"/>
      <c r="BY32" s="131"/>
      <c r="BZ32" s="134"/>
      <c r="CA32" s="76">
        <f t="shared" si="8"/>
        <v>100</v>
      </c>
      <c r="CB32" s="76">
        <f t="shared" si="9"/>
        <v>100</v>
      </c>
      <c r="CC32" s="76">
        <f t="shared" si="10"/>
        <v>100</v>
      </c>
      <c r="CD32" s="76">
        <f t="shared" si="11"/>
        <v>100</v>
      </c>
      <c r="CE32" s="76">
        <f t="shared" si="12"/>
        <v>100</v>
      </c>
      <c r="CF32" s="76">
        <v>30</v>
      </c>
      <c r="CG32" s="76" t="s">
        <v>136</v>
      </c>
      <c r="CH32" s="76"/>
      <c r="CI32" s="181"/>
    </row>
    <row r="33" spans="1:87" ht="15.75" thickBot="1" x14ac:dyDescent="0.3">
      <c r="A33" s="131"/>
      <c r="B33" s="132"/>
      <c r="C33" s="132"/>
      <c r="D33" s="132"/>
      <c r="E33" s="133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4"/>
      <c r="AP33" s="134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1"/>
      <c r="BQ33" s="131"/>
      <c r="BR33" s="131"/>
      <c r="BS33" s="131"/>
      <c r="BT33" s="131"/>
      <c r="BU33" s="131"/>
      <c r="BV33" s="131"/>
      <c r="BW33" s="131"/>
      <c r="BX33" s="134"/>
      <c r="BY33" s="131"/>
      <c r="BZ33" s="134"/>
      <c r="CA33" s="76">
        <f t="shared" si="8"/>
        <v>100</v>
      </c>
      <c r="CB33" s="76">
        <f t="shared" si="9"/>
        <v>100</v>
      </c>
      <c r="CC33" s="76">
        <f t="shared" si="10"/>
        <v>100</v>
      </c>
      <c r="CD33" s="76">
        <f t="shared" si="11"/>
        <v>100</v>
      </c>
      <c r="CE33" s="76">
        <f t="shared" si="12"/>
        <v>100</v>
      </c>
      <c r="CF33" s="76">
        <v>31</v>
      </c>
      <c r="CG33" s="76" t="s">
        <v>136</v>
      </c>
      <c r="CH33" s="76"/>
      <c r="CI33" s="181"/>
    </row>
    <row r="34" spans="1:87" ht="15.75" thickBot="1" x14ac:dyDescent="0.3">
      <c r="A34" s="131"/>
      <c r="B34" s="132"/>
      <c r="C34" s="132"/>
      <c r="D34" s="132"/>
      <c r="E34" s="133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4"/>
      <c r="AP34" s="134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1"/>
      <c r="BQ34" s="131"/>
      <c r="BR34" s="131"/>
      <c r="BS34" s="131"/>
      <c r="BT34" s="131"/>
      <c r="BU34" s="131"/>
      <c r="BV34" s="131"/>
      <c r="BW34" s="131"/>
      <c r="BX34" s="134"/>
      <c r="BY34" s="131"/>
      <c r="BZ34" s="134"/>
      <c r="CA34" s="76">
        <f t="shared" si="8"/>
        <v>100</v>
      </c>
      <c r="CB34" s="76">
        <f t="shared" si="9"/>
        <v>100</v>
      </c>
      <c r="CC34" s="76">
        <f t="shared" si="10"/>
        <v>100</v>
      </c>
      <c r="CD34" s="76">
        <f t="shared" si="11"/>
        <v>100</v>
      </c>
      <c r="CE34" s="76">
        <f t="shared" si="12"/>
        <v>100</v>
      </c>
      <c r="CF34" s="76">
        <v>32</v>
      </c>
      <c r="CG34" s="76" t="s">
        <v>136</v>
      </c>
      <c r="CH34" s="76"/>
      <c r="CI34" s="181"/>
    </row>
    <row r="35" spans="1:87" ht="15.75" thickBot="1" x14ac:dyDescent="0.3">
      <c r="A35" s="131"/>
      <c r="B35" s="132"/>
      <c r="C35" s="132"/>
      <c r="D35" s="132"/>
      <c r="E35" s="133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4"/>
      <c r="AP35" s="134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4"/>
      <c r="BY35" s="131"/>
      <c r="BZ35" s="134"/>
      <c r="CA35" s="76">
        <f t="shared" si="8"/>
        <v>100</v>
      </c>
      <c r="CB35" s="76">
        <f t="shared" si="9"/>
        <v>100</v>
      </c>
      <c r="CC35" s="76">
        <f t="shared" si="10"/>
        <v>100</v>
      </c>
      <c r="CD35" s="76">
        <f t="shared" si="11"/>
        <v>100</v>
      </c>
      <c r="CE35" s="76">
        <f t="shared" si="12"/>
        <v>100</v>
      </c>
      <c r="CF35" s="76">
        <v>33</v>
      </c>
      <c r="CG35" s="76" t="s">
        <v>136</v>
      </c>
      <c r="CH35" s="76"/>
      <c r="CI35" s="181"/>
    </row>
    <row r="36" spans="1:87" ht="15.75" thickBot="1" x14ac:dyDescent="0.3">
      <c r="A36" s="131"/>
      <c r="B36" s="132"/>
      <c r="C36" s="132"/>
      <c r="D36" s="132"/>
      <c r="E36" s="133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4"/>
      <c r="AP36" s="134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1"/>
      <c r="BQ36" s="131"/>
      <c r="BR36" s="131"/>
      <c r="BS36" s="131"/>
      <c r="BT36" s="131"/>
      <c r="BU36" s="131"/>
      <c r="BV36" s="131"/>
      <c r="BW36" s="131"/>
      <c r="BX36" s="134"/>
      <c r="BY36" s="131"/>
      <c r="BZ36" s="134"/>
      <c r="CA36" s="76">
        <f t="shared" si="8"/>
        <v>100</v>
      </c>
      <c r="CB36" s="76">
        <f t="shared" si="9"/>
        <v>100</v>
      </c>
      <c r="CC36" s="76">
        <f t="shared" si="10"/>
        <v>100</v>
      </c>
      <c r="CD36" s="76">
        <f t="shared" si="11"/>
        <v>100</v>
      </c>
      <c r="CE36" s="76">
        <f t="shared" si="12"/>
        <v>100</v>
      </c>
      <c r="CF36" s="76">
        <v>34</v>
      </c>
      <c r="CG36" s="76" t="s">
        <v>136</v>
      </c>
      <c r="CH36" s="76"/>
      <c r="CI36" s="181"/>
    </row>
    <row r="37" spans="1:87" ht="15.75" thickBot="1" x14ac:dyDescent="0.3">
      <c r="A37" s="131"/>
      <c r="B37" s="132"/>
      <c r="C37" s="132"/>
      <c r="D37" s="132"/>
      <c r="E37" s="133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4"/>
      <c r="AP37" s="134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131"/>
      <c r="BW37" s="131"/>
      <c r="BX37" s="134"/>
      <c r="BY37" s="131"/>
      <c r="BZ37" s="134"/>
      <c r="CA37" s="76">
        <f t="shared" si="8"/>
        <v>100</v>
      </c>
      <c r="CB37" s="76">
        <f t="shared" si="9"/>
        <v>100</v>
      </c>
      <c r="CC37" s="76">
        <f t="shared" si="10"/>
        <v>100</v>
      </c>
      <c r="CD37" s="76">
        <f t="shared" si="11"/>
        <v>100</v>
      </c>
      <c r="CE37" s="76">
        <f t="shared" si="12"/>
        <v>100</v>
      </c>
      <c r="CF37" s="76">
        <v>35</v>
      </c>
      <c r="CG37" s="76" t="s">
        <v>136</v>
      </c>
      <c r="CH37" s="76"/>
      <c r="CI37" s="181"/>
    </row>
    <row r="38" spans="1:87" ht="15.75" thickBot="1" x14ac:dyDescent="0.3">
      <c r="A38" s="131"/>
      <c r="B38" s="132"/>
      <c r="C38" s="132"/>
      <c r="D38" s="132"/>
      <c r="E38" s="133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  <c r="AH38" s="131"/>
      <c r="AI38" s="131"/>
      <c r="AJ38" s="131"/>
      <c r="AK38" s="131"/>
      <c r="AL38" s="131"/>
      <c r="AM38" s="131"/>
      <c r="AN38" s="131"/>
      <c r="AO38" s="134"/>
      <c r="AP38" s="134"/>
      <c r="AQ38" s="131"/>
      <c r="AR38" s="131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131"/>
      <c r="BR38" s="131"/>
      <c r="BS38" s="131"/>
      <c r="BT38" s="131"/>
      <c r="BU38" s="131"/>
      <c r="BV38" s="131"/>
      <c r="BW38" s="131"/>
      <c r="BX38" s="134"/>
      <c r="BY38" s="131"/>
      <c r="BZ38" s="134"/>
      <c r="CA38" s="76">
        <f t="shared" si="8"/>
        <v>100</v>
      </c>
      <c r="CB38" s="76">
        <f t="shared" si="9"/>
        <v>100</v>
      </c>
      <c r="CC38" s="76">
        <f t="shared" si="10"/>
        <v>100</v>
      </c>
      <c r="CD38" s="76">
        <f t="shared" si="11"/>
        <v>100</v>
      </c>
      <c r="CE38" s="76">
        <f t="shared" si="12"/>
        <v>100</v>
      </c>
      <c r="CF38" s="76">
        <v>36</v>
      </c>
      <c r="CG38" s="76" t="s">
        <v>136</v>
      </c>
      <c r="CH38" s="76"/>
      <c r="CI38" s="181"/>
    </row>
    <row r="39" spans="1:87" ht="15.75" thickBot="1" x14ac:dyDescent="0.3">
      <c r="A39" s="131"/>
      <c r="B39" s="132"/>
      <c r="C39" s="132"/>
      <c r="D39" s="132"/>
      <c r="E39" s="133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31"/>
      <c r="AI39" s="131"/>
      <c r="AJ39" s="131"/>
      <c r="AK39" s="131"/>
      <c r="AL39" s="131"/>
      <c r="AM39" s="131"/>
      <c r="AN39" s="131"/>
      <c r="AO39" s="134"/>
      <c r="AP39" s="134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1"/>
      <c r="BQ39" s="131"/>
      <c r="BR39" s="131"/>
      <c r="BS39" s="131"/>
      <c r="BT39" s="131"/>
      <c r="BU39" s="131"/>
      <c r="BV39" s="131"/>
      <c r="BW39" s="131"/>
      <c r="BX39" s="134"/>
      <c r="BY39" s="131"/>
      <c r="BZ39" s="134"/>
      <c r="CA39" s="76">
        <f t="shared" si="8"/>
        <v>100</v>
      </c>
      <c r="CB39" s="76">
        <f t="shared" si="9"/>
        <v>100</v>
      </c>
      <c r="CC39" s="76">
        <f t="shared" si="10"/>
        <v>100</v>
      </c>
      <c r="CD39" s="76">
        <f t="shared" si="11"/>
        <v>100</v>
      </c>
      <c r="CE39" s="76">
        <f t="shared" si="12"/>
        <v>100</v>
      </c>
      <c r="CF39" s="76">
        <v>37</v>
      </c>
      <c r="CG39" s="76" t="s">
        <v>136</v>
      </c>
      <c r="CH39" s="76"/>
      <c r="CI39" s="181"/>
    </row>
    <row r="40" spans="1:87" ht="15.75" thickBot="1" x14ac:dyDescent="0.3">
      <c r="A40" s="131"/>
      <c r="B40" s="132"/>
      <c r="C40" s="132"/>
      <c r="D40" s="132"/>
      <c r="E40" s="133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4"/>
      <c r="AP40" s="134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1"/>
      <c r="BQ40" s="131"/>
      <c r="BR40" s="131"/>
      <c r="BS40" s="131"/>
      <c r="BT40" s="131"/>
      <c r="BU40" s="131"/>
      <c r="BV40" s="131"/>
      <c r="BW40" s="131"/>
      <c r="BX40" s="134"/>
      <c r="BY40" s="131"/>
      <c r="BZ40" s="134"/>
      <c r="CA40" s="76">
        <f t="shared" si="8"/>
        <v>100</v>
      </c>
      <c r="CB40" s="76">
        <f t="shared" si="9"/>
        <v>100</v>
      </c>
      <c r="CC40" s="76">
        <f t="shared" si="10"/>
        <v>100</v>
      </c>
      <c r="CD40" s="76">
        <f t="shared" si="11"/>
        <v>100</v>
      </c>
      <c r="CE40" s="76">
        <f t="shared" si="12"/>
        <v>100</v>
      </c>
      <c r="CF40" s="76">
        <v>38</v>
      </c>
      <c r="CG40" s="76" t="s">
        <v>136</v>
      </c>
      <c r="CH40" s="76"/>
      <c r="CI40" s="181"/>
    </row>
    <row r="41" spans="1:87" ht="15.75" thickBot="1" x14ac:dyDescent="0.3">
      <c r="A41" s="131"/>
      <c r="B41" s="132"/>
      <c r="C41" s="132"/>
      <c r="D41" s="132"/>
      <c r="E41" s="133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4"/>
      <c r="AP41" s="134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131"/>
      <c r="BX41" s="134"/>
      <c r="BY41" s="131"/>
      <c r="BZ41" s="134"/>
      <c r="CA41" s="76">
        <f t="shared" si="8"/>
        <v>100</v>
      </c>
      <c r="CB41" s="76">
        <f t="shared" si="9"/>
        <v>100</v>
      </c>
      <c r="CC41" s="76">
        <f t="shared" si="10"/>
        <v>100</v>
      </c>
      <c r="CD41" s="76">
        <f t="shared" si="11"/>
        <v>100</v>
      </c>
      <c r="CE41" s="76">
        <f t="shared" si="12"/>
        <v>100</v>
      </c>
      <c r="CF41" s="76">
        <v>39</v>
      </c>
      <c r="CG41" s="76" t="s">
        <v>136</v>
      </c>
      <c r="CH41" s="76"/>
      <c r="CI41" s="181"/>
    </row>
    <row r="42" spans="1:87" ht="15.75" thickBot="1" x14ac:dyDescent="0.3">
      <c r="A42" s="131"/>
      <c r="B42" s="132"/>
      <c r="C42" s="132"/>
      <c r="D42" s="132"/>
      <c r="E42" s="133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4"/>
      <c r="AP42" s="134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4"/>
      <c r="BY42" s="131"/>
      <c r="BZ42" s="134"/>
      <c r="CA42" s="76">
        <f t="shared" si="8"/>
        <v>100</v>
      </c>
      <c r="CB42" s="76">
        <f t="shared" si="9"/>
        <v>100</v>
      </c>
      <c r="CC42" s="76">
        <f t="shared" si="10"/>
        <v>100</v>
      </c>
      <c r="CD42" s="76">
        <f t="shared" si="11"/>
        <v>100</v>
      </c>
      <c r="CE42" s="76">
        <f t="shared" si="12"/>
        <v>100</v>
      </c>
      <c r="CF42" s="76">
        <v>40</v>
      </c>
      <c r="CG42" s="76" t="s">
        <v>136</v>
      </c>
      <c r="CH42" s="76"/>
      <c r="CI42" s="181"/>
    </row>
    <row r="43" spans="1:87" ht="15.75" thickBot="1" x14ac:dyDescent="0.3">
      <c r="A43" s="131"/>
      <c r="B43" s="132"/>
      <c r="C43" s="132"/>
      <c r="D43" s="132"/>
      <c r="E43" s="133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4"/>
      <c r="AP43" s="134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4"/>
      <c r="BY43" s="131"/>
      <c r="BZ43" s="134"/>
      <c r="CA43" s="76">
        <f t="shared" si="8"/>
        <v>100</v>
      </c>
      <c r="CB43" s="76">
        <f t="shared" si="9"/>
        <v>100</v>
      </c>
      <c r="CC43" s="76">
        <f t="shared" si="10"/>
        <v>100</v>
      </c>
      <c r="CD43" s="76">
        <f t="shared" si="11"/>
        <v>100</v>
      </c>
      <c r="CE43" s="76">
        <f t="shared" si="12"/>
        <v>100</v>
      </c>
      <c r="CF43" s="76">
        <v>41</v>
      </c>
      <c r="CG43" s="76" t="s">
        <v>136</v>
      </c>
      <c r="CH43" s="76"/>
      <c r="CI43" s="181"/>
    </row>
    <row r="44" spans="1:87" ht="15.75" thickBot="1" x14ac:dyDescent="0.3">
      <c r="A44" s="131"/>
      <c r="B44" s="132"/>
      <c r="C44" s="132"/>
      <c r="D44" s="132"/>
      <c r="E44" s="133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4"/>
      <c r="AP44" s="134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4"/>
      <c r="BY44" s="131"/>
      <c r="BZ44" s="134"/>
      <c r="CA44" s="76">
        <f t="shared" si="8"/>
        <v>100</v>
      </c>
      <c r="CB44" s="76">
        <f t="shared" si="9"/>
        <v>100</v>
      </c>
      <c r="CC44" s="76">
        <f t="shared" si="10"/>
        <v>100</v>
      </c>
      <c r="CD44" s="76">
        <f t="shared" si="11"/>
        <v>100</v>
      </c>
      <c r="CE44" s="76">
        <f t="shared" si="12"/>
        <v>100</v>
      </c>
      <c r="CF44" s="76">
        <v>42</v>
      </c>
      <c r="CG44" s="76" t="s">
        <v>136</v>
      </c>
      <c r="CH44" s="76"/>
      <c r="CI44" s="181"/>
    </row>
    <row r="45" spans="1:87" ht="15.75" thickBot="1" x14ac:dyDescent="0.3">
      <c r="A45" s="131"/>
      <c r="B45" s="132"/>
      <c r="C45" s="132"/>
      <c r="D45" s="132"/>
      <c r="E45" s="133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4"/>
      <c r="AP45" s="134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4"/>
      <c r="BY45" s="131"/>
      <c r="BZ45" s="134"/>
      <c r="CA45" s="76">
        <f t="shared" si="8"/>
        <v>100</v>
      </c>
      <c r="CB45" s="76">
        <f t="shared" si="9"/>
        <v>100</v>
      </c>
      <c r="CC45" s="76">
        <f t="shared" si="10"/>
        <v>100</v>
      </c>
      <c r="CD45" s="76">
        <f t="shared" si="11"/>
        <v>100</v>
      </c>
      <c r="CE45" s="76">
        <f t="shared" si="12"/>
        <v>100</v>
      </c>
      <c r="CF45" s="76">
        <v>43</v>
      </c>
      <c r="CG45" s="76" t="s">
        <v>136</v>
      </c>
      <c r="CH45" s="76"/>
      <c r="CI45" s="181"/>
    </row>
    <row r="46" spans="1:87" ht="15.75" thickBot="1" x14ac:dyDescent="0.3">
      <c r="A46" s="131"/>
      <c r="B46" s="132"/>
      <c r="C46" s="132"/>
      <c r="D46" s="132"/>
      <c r="E46" s="133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4"/>
      <c r="AP46" s="134"/>
      <c r="AQ46" s="131"/>
      <c r="AR46" s="131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1"/>
      <c r="BQ46" s="131"/>
      <c r="BR46" s="131"/>
      <c r="BS46" s="131"/>
      <c r="BT46" s="131"/>
      <c r="BU46" s="131"/>
      <c r="BV46" s="131"/>
      <c r="BW46" s="131"/>
      <c r="BX46" s="134"/>
      <c r="BY46" s="131"/>
      <c r="BZ46" s="134"/>
      <c r="CA46" s="76">
        <f t="shared" si="8"/>
        <v>100</v>
      </c>
      <c r="CB46" s="76">
        <f t="shared" si="9"/>
        <v>100</v>
      </c>
      <c r="CC46" s="76">
        <f t="shared" si="10"/>
        <v>100</v>
      </c>
      <c r="CD46" s="76">
        <f t="shared" si="11"/>
        <v>100</v>
      </c>
      <c r="CE46" s="76">
        <f t="shared" si="12"/>
        <v>100</v>
      </c>
      <c r="CF46" s="76">
        <v>44</v>
      </c>
      <c r="CG46" s="76" t="s">
        <v>136</v>
      </c>
      <c r="CH46" s="76"/>
      <c r="CI46" s="181"/>
    </row>
    <row r="47" spans="1:87" ht="15.75" thickBot="1" x14ac:dyDescent="0.3">
      <c r="A47" s="131"/>
      <c r="B47" s="132"/>
      <c r="C47" s="132"/>
      <c r="D47" s="132"/>
      <c r="E47" s="133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4"/>
      <c r="AP47" s="134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1"/>
      <c r="BQ47" s="131"/>
      <c r="BR47" s="131"/>
      <c r="BS47" s="131"/>
      <c r="BT47" s="131"/>
      <c r="BU47" s="131"/>
      <c r="BV47" s="131"/>
      <c r="BW47" s="131"/>
      <c r="BX47" s="134"/>
      <c r="BY47" s="131"/>
      <c r="BZ47" s="134"/>
      <c r="CA47" s="76">
        <f t="shared" si="8"/>
        <v>100</v>
      </c>
      <c r="CB47" s="76">
        <f t="shared" si="9"/>
        <v>100</v>
      </c>
      <c r="CC47" s="76">
        <f t="shared" si="10"/>
        <v>100</v>
      </c>
      <c r="CD47" s="76">
        <f t="shared" si="11"/>
        <v>100</v>
      </c>
      <c r="CE47" s="76">
        <f t="shared" si="12"/>
        <v>100</v>
      </c>
      <c r="CF47" s="76">
        <v>45</v>
      </c>
      <c r="CG47" s="76" t="s">
        <v>136</v>
      </c>
      <c r="CH47" s="76"/>
      <c r="CI47" s="181"/>
    </row>
    <row r="48" spans="1:87" ht="15.75" thickBot="1" x14ac:dyDescent="0.3">
      <c r="A48" s="131"/>
      <c r="B48" s="132"/>
      <c r="C48" s="132"/>
      <c r="D48" s="132"/>
      <c r="E48" s="133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4"/>
      <c r="AP48" s="134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1"/>
      <c r="BQ48" s="131"/>
      <c r="BR48" s="131"/>
      <c r="BS48" s="131"/>
      <c r="BT48" s="131"/>
      <c r="BU48" s="131"/>
      <c r="BV48" s="131"/>
      <c r="BW48" s="131"/>
      <c r="BX48" s="134"/>
      <c r="BY48" s="131"/>
      <c r="BZ48" s="134"/>
      <c r="CA48" s="76">
        <f t="shared" si="8"/>
        <v>100</v>
      </c>
      <c r="CB48" s="76">
        <f t="shared" si="9"/>
        <v>100</v>
      </c>
      <c r="CC48" s="76">
        <f t="shared" si="10"/>
        <v>100</v>
      </c>
      <c r="CD48" s="76">
        <f t="shared" si="11"/>
        <v>100</v>
      </c>
      <c r="CE48" s="76">
        <f t="shared" si="12"/>
        <v>100</v>
      </c>
      <c r="CF48" s="76">
        <v>46</v>
      </c>
      <c r="CG48" s="76" t="s">
        <v>136</v>
      </c>
      <c r="CH48" s="76"/>
      <c r="CI48" s="181"/>
    </row>
    <row r="49" spans="1:87" ht="15.75" thickBot="1" x14ac:dyDescent="0.3">
      <c r="A49" s="131"/>
      <c r="B49" s="132"/>
      <c r="C49" s="132"/>
      <c r="D49" s="132"/>
      <c r="E49" s="133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4"/>
      <c r="AP49" s="134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1"/>
      <c r="BV49" s="131"/>
      <c r="BW49" s="131"/>
      <c r="BX49" s="134"/>
      <c r="BY49" s="131"/>
      <c r="BZ49" s="134"/>
      <c r="CA49" s="76">
        <f t="shared" si="8"/>
        <v>100</v>
      </c>
      <c r="CB49" s="76">
        <f t="shared" si="9"/>
        <v>100</v>
      </c>
      <c r="CC49" s="76">
        <f t="shared" si="10"/>
        <v>100</v>
      </c>
      <c r="CD49" s="76">
        <f t="shared" si="11"/>
        <v>100</v>
      </c>
      <c r="CE49" s="76">
        <f t="shared" si="12"/>
        <v>100</v>
      </c>
      <c r="CF49" s="76">
        <v>47</v>
      </c>
      <c r="CG49" s="76" t="s">
        <v>136</v>
      </c>
      <c r="CH49" s="76"/>
      <c r="CI49" s="181"/>
    </row>
    <row r="50" spans="1:87" ht="15.75" thickBot="1" x14ac:dyDescent="0.3">
      <c r="A50" s="131"/>
      <c r="B50" s="132"/>
      <c r="C50" s="132"/>
      <c r="D50" s="132"/>
      <c r="E50" s="133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4"/>
      <c r="AP50" s="134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4"/>
      <c r="BY50" s="131"/>
      <c r="BZ50" s="134"/>
      <c r="CA50" s="76">
        <f t="shared" si="8"/>
        <v>100</v>
      </c>
      <c r="CB50" s="76">
        <f t="shared" si="9"/>
        <v>100</v>
      </c>
      <c r="CC50" s="76">
        <f t="shared" si="10"/>
        <v>100</v>
      </c>
      <c r="CD50" s="76">
        <f t="shared" si="11"/>
        <v>100</v>
      </c>
      <c r="CE50" s="76">
        <f t="shared" si="12"/>
        <v>100</v>
      </c>
      <c r="CF50" s="76">
        <v>48</v>
      </c>
      <c r="CG50" s="76" t="s">
        <v>136</v>
      </c>
      <c r="CH50" s="76"/>
      <c r="CI50" s="181"/>
    </row>
    <row r="51" spans="1:87" ht="15.75" thickBot="1" x14ac:dyDescent="0.3">
      <c r="A51" s="131"/>
      <c r="B51" s="132"/>
      <c r="C51" s="132"/>
      <c r="D51" s="132"/>
      <c r="E51" s="133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4"/>
      <c r="AP51" s="134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4"/>
      <c r="BY51" s="131"/>
      <c r="BZ51" s="134"/>
      <c r="CA51" s="76">
        <f t="shared" si="8"/>
        <v>100</v>
      </c>
      <c r="CB51" s="76">
        <f t="shared" si="9"/>
        <v>100</v>
      </c>
      <c r="CC51" s="76">
        <f t="shared" si="10"/>
        <v>100</v>
      </c>
      <c r="CD51" s="76">
        <f t="shared" si="11"/>
        <v>100</v>
      </c>
      <c r="CE51" s="76">
        <f t="shared" si="12"/>
        <v>100</v>
      </c>
      <c r="CF51" s="76">
        <v>49</v>
      </c>
      <c r="CG51" s="76" t="s">
        <v>136</v>
      </c>
      <c r="CH51" s="76"/>
      <c r="CI51" s="181"/>
    </row>
    <row r="52" spans="1:87" ht="15.75" thickBot="1" x14ac:dyDescent="0.3">
      <c r="A52" s="131"/>
      <c r="B52" s="132"/>
      <c r="C52" s="132"/>
      <c r="D52" s="132"/>
      <c r="E52" s="133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4"/>
      <c r="AP52" s="134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4"/>
      <c r="BY52" s="131"/>
      <c r="BZ52" s="134"/>
      <c r="CA52" s="76">
        <f t="shared" si="8"/>
        <v>100</v>
      </c>
      <c r="CB52" s="76">
        <f t="shared" si="9"/>
        <v>100</v>
      </c>
      <c r="CC52" s="76">
        <f t="shared" si="10"/>
        <v>100</v>
      </c>
      <c r="CD52" s="76">
        <f t="shared" si="11"/>
        <v>100</v>
      </c>
      <c r="CE52" s="76">
        <f t="shared" si="12"/>
        <v>100</v>
      </c>
      <c r="CF52" s="76">
        <v>50</v>
      </c>
      <c r="CG52" s="76" t="s">
        <v>136</v>
      </c>
      <c r="CH52" s="76"/>
      <c r="CI52" s="181"/>
    </row>
    <row r="53" spans="1:87" ht="15.75" thickBot="1" x14ac:dyDescent="0.3">
      <c r="A53" s="131"/>
      <c r="B53" s="132"/>
      <c r="C53" s="132"/>
      <c r="D53" s="132"/>
      <c r="E53" s="133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4"/>
      <c r="AP53" s="134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1"/>
      <c r="BQ53" s="131"/>
      <c r="BR53" s="131"/>
      <c r="BS53" s="131"/>
      <c r="BT53" s="131"/>
      <c r="BU53" s="131"/>
      <c r="BV53" s="131"/>
      <c r="BW53" s="131"/>
      <c r="BX53" s="134"/>
      <c r="BY53" s="131"/>
      <c r="BZ53" s="134"/>
      <c r="CA53" s="76">
        <f t="shared" si="8"/>
        <v>100</v>
      </c>
      <c r="CB53" s="76">
        <f t="shared" si="9"/>
        <v>100</v>
      </c>
      <c r="CC53" s="76">
        <f t="shared" si="10"/>
        <v>100</v>
      </c>
      <c r="CD53" s="76">
        <f t="shared" si="11"/>
        <v>100</v>
      </c>
      <c r="CE53" s="76">
        <f t="shared" si="12"/>
        <v>100</v>
      </c>
      <c r="CF53" s="76">
        <v>51</v>
      </c>
      <c r="CG53" s="76" t="s">
        <v>136</v>
      </c>
      <c r="CH53" s="76"/>
      <c r="CI53" s="181"/>
    </row>
    <row r="54" spans="1:87" ht="15.75" thickBot="1" x14ac:dyDescent="0.3">
      <c r="A54" s="131"/>
      <c r="B54" s="132"/>
      <c r="C54" s="132"/>
      <c r="D54" s="132"/>
      <c r="E54" s="133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4"/>
      <c r="AP54" s="134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1"/>
      <c r="BQ54" s="131"/>
      <c r="BR54" s="131"/>
      <c r="BS54" s="131"/>
      <c r="BT54" s="131"/>
      <c r="BU54" s="131"/>
      <c r="BV54" s="131"/>
      <c r="BW54" s="131"/>
      <c r="BX54" s="134"/>
      <c r="BY54" s="131"/>
      <c r="BZ54" s="134"/>
      <c r="CA54" s="76">
        <f t="shared" si="8"/>
        <v>100</v>
      </c>
      <c r="CB54" s="76">
        <f t="shared" si="9"/>
        <v>100</v>
      </c>
      <c r="CC54" s="76">
        <f t="shared" si="10"/>
        <v>100</v>
      </c>
      <c r="CD54" s="76">
        <f t="shared" si="11"/>
        <v>100</v>
      </c>
      <c r="CE54" s="76">
        <f t="shared" si="12"/>
        <v>100</v>
      </c>
      <c r="CF54" s="76">
        <v>52</v>
      </c>
      <c r="CG54" s="76" t="s">
        <v>136</v>
      </c>
      <c r="CH54" s="76"/>
      <c r="CI54" s="181"/>
    </row>
    <row r="55" spans="1:87" ht="15.75" thickBot="1" x14ac:dyDescent="0.3">
      <c r="A55" s="131"/>
      <c r="B55" s="132"/>
      <c r="C55" s="132"/>
      <c r="D55" s="132"/>
      <c r="E55" s="133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4"/>
      <c r="AP55" s="134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/>
      <c r="BP55" s="131"/>
      <c r="BQ55" s="131"/>
      <c r="BR55" s="131"/>
      <c r="BS55" s="131"/>
      <c r="BT55" s="131"/>
      <c r="BU55" s="131"/>
      <c r="BV55" s="131"/>
      <c r="BW55" s="131"/>
      <c r="BX55" s="134"/>
      <c r="BY55" s="131"/>
      <c r="BZ55" s="134"/>
      <c r="CA55" s="76">
        <f t="shared" si="8"/>
        <v>100</v>
      </c>
      <c r="CB55" s="76">
        <f t="shared" si="9"/>
        <v>100</v>
      </c>
      <c r="CC55" s="76">
        <f t="shared" si="10"/>
        <v>100</v>
      </c>
      <c r="CD55" s="76">
        <f t="shared" si="11"/>
        <v>100</v>
      </c>
      <c r="CE55" s="76">
        <f t="shared" si="12"/>
        <v>100</v>
      </c>
      <c r="CF55" s="76">
        <v>53</v>
      </c>
      <c r="CG55" s="76" t="s">
        <v>136</v>
      </c>
      <c r="CH55" s="76"/>
      <c r="CI55" s="181"/>
    </row>
    <row r="56" spans="1:87" ht="15.75" thickBot="1" x14ac:dyDescent="0.3">
      <c r="A56" s="131"/>
      <c r="B56" s="132"/>
      <c r="C56" s="132"/>
      <c r="D56" s="132"/>
      <c r="E56" s="133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4"/>
      <c r="AP56" s="134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/>
      <c r="BP56" s="131"/>
      <c r="BQ56" s="131"/>
      <c r="BR56" s="131"/>
      <c r="BS56" s="131"/>
      <c r="BT56" s="131"/>
      <c r="BU56" s="131"/>
      <c r="BV56" s="131"/>
      <c r="BW56" s="131"/>
      <c r="BX56" s="134"/>
      <c r="BY56" s="131"/>
      <c r="BZ56" s="134"/>
      <c r="CA56" s="76">
        <f t="shared" si="8"/>
        <v>100</v>
      </c>
      <c r="CB56" s="76">
        <f t="shared" si="9"/>
        <v>100</v>
      </c>
      <c r="CC56" s="76">
        <f t="shared" si="10"/>
        <v>100</v>
      </c>
      <c r="CD56" s="76">
        <f t="shared" si="11"/>
        <v>100</v>
      </c>
      <c r="CE56" s="76">
        <f t="shared" si="12"/>
        <v>100</v>
      </c>
      <c r="CF56" s="76">
        <v>54</v>
      </c>
      <c r="CG56" s="76" t="s">
        <v>136</v>
      </c>
      <c r="CH56" s="76"/>
      <c r="CI56" s="181"/>
    </row>
    <row r="57" spans="1:87" ht="15.75" thickBot="1" x14ac:dyDescent="0.3">
      <c r="A57" s="131"/>
      <c r="B57" s="132"/>
      <c r="C57" s="132"/>
      <c r="D57" s="132"/>
      <c r="E57" s="133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4"/>
      <c r="AP57" s="134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4"/>
      <c r="BY57" s="131"/>
      <c r="BZ57" s="134"/>
      <c r="CA57" s="76">
        <f t="shared" si="8"/>
        <v>100</v>
      </c>
      <c r="CB57" s="76">
        <f t="shared" si="9"/>
        <v>100</v>
      </c>
      <c r="CC57" s="76">
        <f t="shared" si="10"/>
        <v>100</v>
      </c>
      <c r="CD57" s="76">
        <f t="shared" si="11"/>
        <v>100</v>
      </c>
      <c r="CE57" s="76">
        <f t="shared" si="12"/>
        <v>100</v>
      </c>
      <c r="CF57" s="76">
        <v>55</v>
      </c>
      <c r="CG57" s="76" t="s">
        <v>136</v>
      </c>
      <c r="CH57" s="76"/>
      <c r="CI57" s="181"/>
    </row>
    <row r="58" spans="1:87" ht="15.75" thickBot="1" x14ac:dyDescent="0.3">
      <c r="A58" s="131"/>
      <c r="B58" s="132"/>
      <c r="C58" s="132"/>
      <c r="D58" s="132"/>
      <c r="E58" s="133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4"/>
      <c r="AP58" s="134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4"/>
      <c r="BY58" s="131"/>
      <c r="BZ58" s="134"/>
      <c r="CA58" s="76">
        <f t="shared" si="8"/>
        <v>100</v>
      </c>
      <c r="CB58" s="76">
        <f t="shared" si="9"/>
        <v>100</v>
      </c>
      <c r="CC58" s="76">
        <f t="shared" si="10"/>
        <v>100</v>
      </c>
      <c r="CD58" s="76">
        <f t="shared" si="11"/>
        <v>100</v>
      </c>
      <c r="CE58" s="76">
        <f t="shared" si="12"/>
        <v>100</v>
      </c>
      <c r="CF58" s="76">
        <v>56</v>
      </c>
      <c r="CG58" s="76" t="s">
        <v>136</v>
      </c>
      <c r="CH58" s="76"/>
      <c r="CI58" s="181"/>
    </row>
    <row r="59" spans="1:87" ht="15.75" thickBot="1" x14ac:dyDescent="0.3">
      <c r="A59" s="131"/>
      <c r="B59" s="132"/>
      <c r="C59" s="132"/>
      <c r="D59" s="132"/>
      <c r="E59" s="133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4"/>
      <c r="AP59" s="134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4"/>
      <c r="BY59" s="131"/>
      <c r="BZ59" s="134"/>
      <c r="CA59" s="76">
        <f t="shared" si="8"/>
        <v>100</v>
      </c>
      <c r="CB59" s="76">
        <f t="shared" si="9"/>
        <v>100</v>
      </c>
      <c r="CC59" s="76">
        <f t="shared" si="10"/>
        <v>100</v>
      </c>
      <c r="CD59" s="76">
        <f t="shared" si="11"/>
        <v>100</v>
      </c>
      <c r="CE59" s="76">
        <f t="shared" si="12"/>
        <v>100</v>
      </c>
      <c r="CF59" s="76">
        <v>57</v>
      </c>
      <c r="CG59" s="76" t="s">
        <v>136</v>
      </c>
      <c r="CH59" s="76"/>
      <c r="CI59" s="181"/>
    </row>
    <row r="60" spans="1:87" ht="15.75" thickBot="1" x14ac:dyDescent="0.3">
      <c r="A60" s="131"/>
      <c r="B60" s="132"/>
      <c r="C60" s="132"/>
      <c r="D60" s="132"/>
      <c r="E60" s="133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4"/>
      <c r="AP60" s="134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1"/>
      <c r="BQ60" s="131"/>
      <c r="BR60" s="131"/>
      <c r="BS60" s="131"/>
      <c r="BT60" s="131"/>
      <c r="BU60" s="131"/>
      <c r="BV60" s="131"/>
      <c r="BW60" s="131"/>
      <c r="BX60" s="134"/>
      <c r="BY60" s="131"/>
      <c r="BZ60" s="134"/>
      <c r="CA60" s="76">
        <f t="shared" si="8"/>
        <v>100</v>
      </c>
      <c r="CB60" s="76">
        <f t="shared" si="9"/>
        <v>100</v>
      </c>
      <c r="CC60" s="76">
        <f t="shared" si="10"/>
        <v>100</v>
      </c>
      <c r="CD60" s="76">
        <f t="shared" si="11"/>
        <v>100</v>
      </c>
      <c r="CE60" s="76">
        <f t="shared" si="12"/>
        <v>100</v>
      </c>
      <c r="CF60" s="76">
        <v>58</v>
      </c>
      <c r="CG60" s="76" t="s">
        <v>136</v>
      </c>
      <c r="CH60" s="76"/>
      <c r="CI60" s="181"/>
    </row>
    <row r="61" spans="1:87" ht="15.75" thickBot="1" x14ac:dyDescent="0.3">
      <c r="A61" s="131"/>
      <c r="B61" s="132"/>
      <c r="C61" s="132"/>
      <c r="D61" s="132"/>
      <c r="E61" s="133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4"/>
      <c r="AP61" s="134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4"/>
      <c r="BY61" s="131"/>
      <c r="BZ61" s="134"/>
      <c r="CA61" s="76">
        <f t="shared" ref="CA61:CA82" si="13">IF(K61="NO",0,$K$1)+IF(L61="NO",0,$L$1)+IF(M61="NO",0,$M$1)+IF(N61="NO",0,$N$1)+IF(O61="NO",0,$O$1)+IF(P61="NO",0,$P$1)+IF(Q61="NO",0,$Q$1)+IF(R61="NO",0,$R$1)+IF(S61="NO",0,$S$1)+IF(T61="NO",0,$T$1)+IF(U61="NO",0,$U$1)+IF(V61="NO",0,$V$1)+IF(W61="NO",0,$W$1)+IF(X61="NO",0,$X$1)+IF(Y61="NO",0,$Y$1)+IF(Z61="NO",0,$Z$1)+IF(AA61="NO",$AA$1,IF(AB61="NO",0,$AB$1)+IF(AC61="NO",0,$AC$1)+IF(AD61="NO",0,$AD$1)+IF(AE61="NO",0,$AE$1)+IF(AF61="NO",0,$AF$1)+IF(AG61="NO",0,$AG$1)+IF(AH61="NO",0,$AH$1)+IF(AI61="NO",0,$AI$1)+IF(AJ61="NO",0,$AJ$1)+IF(AK61="NO",0,$AK$1)+IF(AL61="NO",0,$AL$1)+IF(AM61="NO",0,$AM$1)+IF(AN61="NO",0,$AN$1))</f>
        <v>100</v>
      </c>
      <c r="CB61" s="76">
        <f t="shared" ref="CB61:CB82" si="14">IF(AQ61="NO",0,$AQ$1)+IF(AR61="NO",0,$AR$1)+IF(AS61="NO",0,$AS$1)+IF(AT61="NO",0,$AT$1)+IF(AU61="NO",0,$AU$1)+IF(AV61="NO",0,$AV$1)+IF(AW61="NO",0,$AW$1)+IF(AX61="NO",0,$AX$1)+IF(AY61="NO",0,$AY$1)+IF(AZ61="NO",0,$AZ$1)+IF(BA61="NO",0,$BA$1)+IF(BB61="NO",0,$BB$1)+IF(BC61="NO",0,$BC$1)+IF(BD61="NO",0,$BD$1)+IF(BE61="NO",0,$BE$1)+IF(BF61="NO",0,$BF$1)</f>
        <v>100</v>
      </c>
      <c r="CC61" s="76">
        <f t="shared" ref="CC61:CC82" si="15">IF(BG61="NO",0,$BG$1)+IF(BH61="NO",0,$BH$1)+IF(BI61="NO",0,$BI$1)+IF(BJ61="NO",0,$BJ$1)+IF(BK61="NO",0,$BK$1)+IF(BL61="NO",0,$BL$1)+IF(BM61="NO",0,$BM$1)+IF(BN61="NO",0,$BN$1)+IF(BO61="NO",0,$BO$1)+IF(BP61="NO",0,$BP$1)+IF(BQ61="NO",0,$BQ$1)</f>
        <v>100</v>
      </c>
      <c r="CD61" s="76">
        <f t="shared" ref="CD61:CD82" si="16">IF(BR61="NO",0,$BR$1)+IF(BS61="NO",0,$BS$1)+IF(BT61="NO",0,$BT$1)+IF(BU61="NO",0,$BU$1)+IF(BV61="NO",0,$BV$1)+IF(BW61="NO",0,$BW$1)</f>
        <v>100</v>
      </c>
      <c r="CE61" s="76">
        <f t="shared" ref="CE61:CE82" si="17">IF(BY61="NO",0,$BY$1)</f>
        <v>100</v>
      </c>
      <c r="CF61" s="76">
        <v>59</v>
      </c>
      <c r="CG61" s="76" t="s">
        <v>136</v>
      </c>
      <c r="CH61" s="76"/>
      <c r="CI61" s="181"/>
    </row>
    <row r="62" spans="1:87" ht="15.75" thickBot="1" x14ac:dyDescent="0.3">
      <c r="A62" s="131"/>
      <c r="B62" s="132"/>
      <c r="C62" s="132"/>
      <c r="D62" s="132"/>
      <c r="E62" s="133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4"/>
      <c r="AP62" s="134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  <c r="BE62" s="131"/>
      <c r="BF62" s="131"/>
      <c r="BG62" s="131"/>
      <c r="BH62" s="131"/>
      <c r="BI62" s="131"/>
      <c r="BJ62" s="131"/>
      <c r="BK62" s="131"/>
      <c r="BL62" s="131"/>
      <c r="BM62" s="131"/>
      <c r="BN62" s="131"/>
      <c r="BO62" s="131"/>
      <c r="BP62" s="131"/>
      <c r="BQ62" s="131"/>
      <c r="BR62" s="131"/>
      <c r="BS62" s="131"/>
      <c r="BT62" s="131"/>
      <c r="BU62" s="131"/>
      <c r="BV62" s="131"/>
      <c r="BW62" s="131"/>
      <c r="BX62" s="134"/>
      <c r="BY62" s="131"/>
      <c r="BZ62" s="134"/>
      <c r="CA62" s="76">
        <f t="shared" si="13"/>
        <v>100</v>
      </c>
      <c r="CB62" s="76">
        <f t="shared" si="14"/>
        <v>100</v>
      </c>
      <c r="CC62" s="76">
        <f t="shared" si="15"/>
        <v>100</v>
      </c>
      <c r="CD62" s="76">
        <f t="shared" si="16"/>
        <v>100</v>
      </c>
      <c r="CE62" s="76">
        <f t="shared" si="17"/>
        <v>100</v>
      </c>
      <c r="CF62" s="76">
        <v>60</v>
      </c>
      <c r="CG62" s="76" t="s">
        <v>136</v>
      </c>
      <c r="CH62" s="76"/>
      <c r="CI62" s="181"/>
    </row>
    <row r="63" spans="1:87" ht="15.75" thickBot="1" x14ac:dyDescent="0.3">
      <c r="A63" s="131"/>
      <c r="B63" s="132"/>
      <c r="C63" s="132"/>
      <c r="D63" s="132"/>
      <c r="E63" s="133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4"/>
      <c r="AP63" s="134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  <c r="BE63" s="131"/>
      <c r="BF63" s="131"/>
      <c r="BG63" s="131"/>
      <c r="BH63" s="131"/>
      <c r="BI63" s="131"/>
      <c r="BJ63" s="131"/>
      <c r="BK63" s="131"/>
      <c r="BL63" s="131"/>
      <c r="BM63" s="131"/>
      <c r="BN63" s="131"/>
      <c r="BO63" s="131"/>
      <c r="BP63" s="131"/>
      <c r="BQ63" s="131"/>
      <c r="BR63" s="131"/>
      <c r="BS63" s="131"/>
      <c r="BT63" s="131"/>
      <c r="BU63" s="131"/>
      <c r="BV63" s="131"/>
      <c r="BW63" s="131"/>
      <c r="BX63" s="134"/>
      <c r="BY63" s="131"/>
      <c r="BZ63" s="134"/>
      <c r="CA63" s="76">
        <f t="shared" si="13"/>
        <v>100</v>
      </c>
      <c r="CB63" s="76">
        <f t="shared" si="14"/>
        <v>100</v>
      </c>
      <c r="CC63" s="76">
        <f t="shared" si="15"/>
        <v>100</v>
      </c>
      <c r="CD63" s="76">
        <f t="shared" si="16"/>
        <v>100</v>
      </c>
      <c r="CE63" s="76">
        <f t="shared" si="17"/>
        <v>100</v>
      </c>
      <c r="CF63" s="76">
        <v>61</v>
      </c>
      <c r="CG63" s="76" t="s">
        <v>136</v>
      </c>
      <c r="CH63" s="76"/>
      <c r="CI63" s="181"/>
    </row>
    <row r="64" spans="1:87" ht="15.75" thickBot="1" x14ac:dyDescent="0.3">
      <c r="A64" s="131"/>
      <c r="B64" s="132"/>
      <c r="C64" s="132"/>
      <c r="D64" s="132"/>
      <c r="E64" s="133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4"/>
      <c r="AP64" s="134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F64" s="131"/>
      <c r="BG64" s="131"/>
      <c r="BH64" s="131"/>
      <c r="BI64" s="131"/>
      <c r="BJ64" s="131"/>
      <c r="BK64" s="131"/>
      <c r="BL64" s="131"/>
      <c r="BM64" s="131"/>
      <c r="BN64" s="131"/>
      <c r="BO64" s="131"/>
      <c r="BP64" s="131"/>
      <c r="BQ64" s="131"/>
      <c r="BR64" s="131"/>
      <c r="BS64" s="131"/>
      <c r="BT64" s="131"/>
      <c r="BU64" s="131"/>
      <c r="BV64" s="131"/>
      <c r="BW64" s="131"/>
      <c r="BX64" s="134"/>
      <c r="BY64" s="131"/>
      <c r="BZ64" s="134"/>
      <c r="CA64" s="76">
        <f t="shared" si="13"/>
        <v>100</v>
      </c>
      <c r="CB64" s="76">
        <f t="shared" si="14"/>
        <v>100</v>
      </c>
      <c r="CC64" s="76">
        <f t="shared" si="15"/>
        <v>100</v>
      </c>
      <c r="CD64" s="76">
        <f t="shared" si="16"/>
        <v>100</v>
      </c>
      <c r="CE64" s="76">
        <f t="shared" si="17"/>
        <v>100</v>
      </c>
      <c r="CF64" s="76">
        <v>62</v>
      </c>
      <c r="CG64" s="76" t="s">
        <v>136</v>
      </c>
      <c r="CH64" s="76"/>
      <c r="CI64" s="181"/>
    </row>
    <row r="65" spans="1:87" ht="15.75" thickBot="1" x14ac:dyDescent="0.3">
      <c r="A65" s="131"/>
      <c r="B65" s="132"/>
      <c r="C65" s="132"/>
      <c r="D65" s="132"/>
      <c r="E65" s="133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4"/>
      <c r="AP65" s="134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  <c r="BE65" s="131"/>
      <c r="BF65" s="131"/>
      <c r="BG65" s="131"/>
      <c r="BH65" s="131"/>
      <c r="BI65" s="131"/>
      <c r="BJ65" s="131"/>
      <c r="BK65" s="131"/>
      <c r="BL65" s="131"/>
      <c r="BM65" s="131"/>
      <c r="BN65" s="131"/>
      <c r="BO65" s="131"/>
      <c r="BP65" s="131"/>
      <c r="BQ65" s="131"/>
      <c r="BR65" s="131"/>
      <c r="BS65" s="131"/>
      <c r="BT65" s="131"/>
      <c r="BU65" s="131"/>
      <c r="BV65" s="131"/>
      <c r="BW65" s="131"/>
      <c r="BX65" s="134"/>
      <c r="BY65" s="131"/>
      <c r="BZ65" s="134"/>
      <c r="CA65" s="76">
        <f t="shared" si="13"/>
        <v>100</v>
      </c>
      <c r="CB65" s="76">
        <f t="shared" si="14"/>
        <v>100</v>
      </c>
      <c r="CC65" s="76">
        <f t="shared" si="15"/>
        <v>100</v>
      </c>
      <c r="CD65" s="76">
        <f t="shared" si="16"/>
        <v>100</v>
      </c>
      <c r="CE65" s="76">
        <f t="shared" si="17"/>
        <v>100</v>
      </c>
      <c r="CF65" s="76">
        <v>63</v>
      </c>
      <c r="CG65" s="76" t="s">
        <v>136</v>
      </c>
      <c r="CH65" s="76"/>
      <c r="CI65" s="181"/>
    </row>
    <row r="66" spans="1:87" ht="15.75" thickBot="1" x14ac:dyDescent="0.3">
      <c r="A66" s="131"/>
      <c r="B66" s="132"/>
      <c r="C66" s="132"/>
      <c r="D66" s="132"/>
      <c r="E66" s="133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4"/>
      <c r="AP66" s="134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4"/>
      <c r="BY66" s="131"/>
      <c r="BZ66" s="134"/>
      <c r="CA66" s="76">
        <f t="shared" si="13"/>
        <v>100</v>
      </c>
      <c r="CB66" s="76">
        <f t="shared" si="14"/>
        <v>100</v>
      </c>
      <c r="CC66" s="76">
        <f t="shared" si="15"/>
        <v>100</v>
      </c>
      <c r="CD66" s="76">
        <f t="shared" si="16"/>
        <v>100</v>
      </c>
      <c r="CE66" s="76">
        <f t="shared" si="17"/>
        <v>100</v>
      </c>
      <c r="CF66" s="76">
        <v>64</v>
      </c>
      <c r="CG66" s="76" t="s">
        <v>136</v>
      </c>
      <c r="CH66" s="76"/>
      <c r="CI66" s="181"/>
    </row>
    <row r="67" spans="1:87" ht="15.75" thickBot="1" x14ac:dyDescent="0.3">
      <c r="A67" s="131"/>
      <c r="B67" s="132"/>
      <c r="C67" s="132"/>
      <c r="D67" s="132"/>
      <c r="E67" s="133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4"/>
      <c r="AP67" s="134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  <c r="BE67" s="131"/>
      <c r="BF67" s="131"/>
      <c r="BG67" s="131"/>
      <c r="BH67" s="131"/>
      <c r="BI67" s="131"/>
      <c r="BJ67" s="131"/>
      <c r="BK67" s="131"/>
      <c r="BL67" s="131"/>
      <c r="BM67" s="131"/>
      <c r="BN67" s="131"/>
      <c r="BO67" s="131"/>
      <c r="BP67" s="131"/>
      <c r="BQ67" s="131"/>
      <c r="BR67" s="131"/>
      <c r="BS67" s="131"/>
      <c r="BT67" s="131"/>
      <c r="BU67" s="131"/>
      <c r="BV67" s="131"/>
      <c r="BW67" s="131"/>
      <c r="BX67" s="134"/>
      <c r="BY67" s="131"/>
      <c r="BZ67" s="134"/>
      <c r="CA67" s="76">
        <f t="shared" si="13"/>
        <v>100</v>
      </c>
      <c r="CB67" s="76">
        <f t="shared" si="14"/>
        <v>100</v>
      </c>
      <c r="CC67" s="76">
        <f t="shared" si="15"/>
        <v>100</v>
      </c>
      <c r="CD67" s="76">
        <f t="shared" si="16"/>
        <v>100</v>
      </c>
      <c r="CE67" s="76">
        <f t="shared" si="17"/>
        <v>100</v>
      </c>
      <c r="CF67" s="76">
        <v>65</v>
      </c>
      <c r="CG67" s="76" t="s">
        <v>136</v>
      </c>
      <c r="CH67" s="76"/>
      <c r="CI67" s="181"/>
    </row>
    <row r="68" spans="1:87" ht="15.75" thickBot="1" x14ac:dyDescent="0.3">
      <c r="A68" s="131"/>
      <c r="B68" s="132"/>
      <c r="C68" s="132"/>
      <c r="D68" s="132"/>
      <c r="E68" s="133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4"/>
      <c r="AP68" s="134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  <c r="BE68" s="131"/>
      <c r="BF68" s="131"/>
      <c r="BG68" s="131"/>
      <c r="BH68" s="131"/>
      <c r="BI68" s="131"/>
      <c r="BJ68" s="131"/>
      <c r="BK68" s="131"/>
      <c r="BL68" s="131"/>
      <c r="BM68" s="131"/>
      <c r="BN68" s="131"/>
      <c r="BO68" s="131"/>
      <c r="BP68" s="131"/>
      <c r="BQ68" s="131"/>
      <c r="BR68" s="131"/>
      <c r="BS68" s="131"/>
      <c r="BT68" s="131"/>
      <c r="BU68" s="131"/>
      <c r="BV68" s="131"/>
      <c r="BW68" s="131"/>
      <c r="BX68" s="134"/>
      <c r="BY68" s="131"/>
      <c r="BZ68" s="134"/>
      <c r="CA68" s="76">
        <f t="shared" si="13"/>
        <v>100</v>
      </c>
      <c r="CB68" s="76">
        <f t="shared" si="14"/>
        <v>100</v>
      </c>
      <c r="CC68" s="76">
        <f t="shared" si="15"/>
        <v>100</v>
      </c>
      <c r="CD68" s="76">
        <f t="shared" si="16"/>
        <v>100</v>
      </c>
      <c r="CE68" s="76">
        <f t="shared" si="17"/>
        <v>100</v>
      </c>
      <c r="CF68" s="76">
        <v>66</v>
      </c>
      <c r="CG68" s="76" t="s">
        <v>136</v>
      </c>
      <c r="CH68" s="76"/>
      <c r="CI68" s="181"/>
    </row>
    <row r="69" spans="1:87" ht="15.75" thickBot="1" x14ac:dyDescent="0.3">
      <c r="A69" s="131"/>
      <c r="B69" s="132"/>
      <c r="C69" s="132"/>
      <c r="D69" s="132"/>
      <c r="E69" s="133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4"/>
      <c r="AP69" s="134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  <c r="BE69" s="131"/>
      <c r="BF69" s="131"/>
      <c r="BG69" s="131"/>
      <c r="BH69" s="131"/>
      <c r="BI69" s="131"/>
      <c r="BJ69" s="131"/>
      <c r="BK69" s="131"/>
      <c r="BL69" s="131"/>
      <c r="BM69" s="131"/>
      <c r="BN69" s="131"/>
      <c r="BO69" s="131"/>
      <c r="BP69" s="131"/>
      <c r="BQ69" s="131"/>
      <c r="BR69" s="131"/>
      <c r="BS69" s="131"/>
      <c r="BT69" s="131"/>
      <c r="BU69" s="131"/>
      <c r="BV69" s="131"/>
      <c r="BW69" s="131"/>
      <c r="BX69" s="134"/>
      <c r="BY69" s="131"/>
      <c r="BZ69" s="134"/>
      <c r="CA69" s="76">
        <f t="shared" si="13"/>
        <v>100</v>
      </c>
      <c r="CB69" s="76">
        <f t="shared" si="14"/>
        <v>100</v>
      </c>
      <c r="CC69" s="76">
        <f t="shared" si="15"/>
        <v>100</v>
      </c>
      <c r="CD69" s="76">
        <f t="shared" si="16"/>
        <v>100</v>
      </c>
      <c r="CE69" s="76">
        <f t="shared" si="17"/>
        <v>100</v>
      </c>
      <c r="CF69" s="76">
        <v>67</v>
      </c>
      <c r="CG69" s="76" t="s">
        <v>136</v>
      </c>
      <c r="CH69" s="76"/>
      <c r="CI69" s="181"/>
    </row>
    <row r="70" spans="1:87" ht="15.75" thickBot="1" x14ac:dyDescent="0.3">
      <c r="A70" s="131"/>
      <c r="B70" s="132"/>
      <c r="C70" s="132"/>
      <c r="D70" s="132"/>
      <c r="E70" s="133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4"/>
      <c r="AP70" s="134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  <c r="BE70" s="131"/>
      <c r="BF70" s="131"/>
      <c r="BG70" s="131"/>
      <c r="BH70" s="131"/>
      <c r="BI70" s="131"/>
      <c r="BJ70" s="131"/>
      <c r="BK70" s="131"/>
      <c r="BL70" s="131"/>
      <c r="BM70" s="131"/>
      <c r="BN70" s="131"/>
      <c r="BO70" s="131"/>
      <c r="BP70" s="131"/>
      <c r="BQ70" s="131"/>
      <c r="BR70" s="131"/>
      <c r="BS70" s="131"/>
      <c r="BT70" s="131"/>
      <c r="BU70" s="131"/>
      <c r="BV70" s="131"/>
      <c r="BW70" s="131"/>
      <c r="BX70" s="134"/>
      <c r="BY70" s="131"/>
      <c r="BZ70" s="134"/>
      <c r="CA70" s="76">
        <f t="shared" si="13"/>
        <v>100</v>
      </c>
      <c r="CB70" s="76">
        <f t="shared" si="14"/>
        <v>100</v>
      </c>
      <c r="CC70" s="76">
        <f t="shared" si="15"/>
        <v>100</v>
      </c>
      <c r="CD70" s="76">
        <f t="shared" si="16"/>
        <v>100</v>
      </c>
      <c r="CE70" s="76">
        <f t="shared" si="17"/>
        <v>100</v>
      </c>
      <c r="CF70" s="76">
        <v>68</v>
      </c>
      <c r="CG70" s="76" t="s">
        <v>136</v>
      </c>
      <c r="CH70" s="76"/>
      <c r="CI70" s="181"/>
    </row>
    <row r="71" spans="1:87" ht="15.75" thickBot="1" x14ac:dyDescent="0.3">
      <c r="A71" s="131"/>
      <c r="B71" s="132"/>
      <c r="C71" s="132"/>
      <c r="D71" s="132"/>
      <c r="E71" s="133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4"/>
      <c r="AP71" s="134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  <c r="BE71" s="131"/>
      <c r="BF71" s="131"/>
      <c r="BG71" s="131"/>
      <c r="BH71" s="131"/>
      <c r="BI71" s="131"/>
      <c r="BJ71" s="131"/>
      <c r="BK71" s="131"/>
      <c r="BL71" s="131"/>
      <c r="BM71" s="131"/>
      <c r="BN71" s="131"/>
      <c r="BO71" s="131"/>
      <c r="BP71" s="131"/>
      <c r="BQ71" s="131"/>
      <c r="BR71" s="131"/>
      <c r="BS71" s="131"/>
      <c r="BT71" s="131"/>
      <c r="BU71" s="131"/>
      <c r="BV71" s="131"/>
      <c r="BW71" s="131"/>
      <c r="BX71" s="134"/>
      <c r="BY71" s="131"/>
      <c r="BZ71" s="134"/>
      <c r="CA71" s="76">
        <f t="shared" si="13"/>
        <v>100</v>
      </c>
      <c r="CB71" s="76">
        <f t="shared" si="14"/>
        <v>100</v>
      </c>
      <c r="CC71" s="76">
        <f t="shared" si="15"/>
        <v>100</v>
      </c>
      <c r="CD71" s="76">
        <f t="shared" si="16"/>
        <v>100</v>
      </c>
      <c r="CE71" s="76">
        <f t="shared" si="17"/>
        <v>100</v>
      </c>
      <c r="CF71" s="76">
        <v>69</v>
      </c>
      <c r="CG71" s="76" t="s">
        <v>136</v>
      </c>
      <c r="CH71" s="76"/>
      <c r="CI71" s="181"/>
    </row>
    <row r="72" spans="1:87" ht="15.75" thickBot="1" x14ac:dyDescent="0.3">
      <c r="A72" s="131"/>
      <c r="B72" s="132"/>
      <c r="C72" s="132"/>
      <c r="D72" s="132"/>
      <c r="E72" s="133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4"/>
      <c r="AP72" s="134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  <c r="BE72" s="131"/>
      <c r="BF72" s="131"/>
      <c r="BG72" s="131"/>
      <c r="BH72" s="131"/>
      <c r="BI72" s="131"/>
      <c r="BJ72" s="131"/>
      <c r="BK72" s="131"/>
      <c r="BL72" s="131"/>
      <c r="BM72" s="131"/>
      <c r="BN72" s="131"/>
      <c r="BO72" s="131"/>
      <c r="BP72" s="131"/>
      <c r="BQ72" s="131"/>
      <c r="BR72" s="131"/>
      <c r="BS72" s="131"/>
      <c r="BT72" s="131"/>
      <c r="BU72" s="131"/>
      <c r="BV72" s="131"/>
      <c r="BW72" s="131"/>
      <c r="BX72" s="134"/>
      <c r="BY72" s="131"/>
      <c r="BZ72" s="134"/>
      <c r="CA72" s="76">
        <f t="shared" si="13"/>
        <v>100</v>
      </c>
      <c r="CB72" s="76">
        <f t="shared" si="14"/>
        <v>100</v>
      </c>
      <c r="CC72" s="76">
        <f t="shared" si="15"/>
        <v>100</v>
      </c>
      <c r="CD72" s="76">
        <f t="shared" si="16"/>
        <v>100</v>
      </c>
      <c r="CE72" s="76">
        <f t="shared" si="17"/>
        <v>100</v>
      </c>
      <c r="CF72" s="76">
        <v>70</v>
      </c>
      <c r="CG72" s="76" t="s">
        <v>136</v>
      </c>
      <c r="CH72" s="76"/>
      <c r="CI72" s="181"/>
    </row>
    <row r="73" spans="1:87" ht="15.75" thickBot="1" x14ac:dyDescent="0.3">
      <c r="A73" s="131"/>
      <c r="B73" s="132"/>
      <c r="C73" s="132"/>
      <c r="D73" s="132"/>
      <c r="E73" s="133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4"/>
      <c r="AP73" s="134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  <c r="BE73" s="131"/>
      <c r="BF73" s="131"/>
      <c r="BG73" s="131"/>
      <c r="BH73" s="131"/>
      <c r="BI73" s="131"/>
      <c r="BJ73" s="131"/>
      <c r="BK73" s="131"/>
      <c r="BL73" s="131"/>
      <c r="BM73" s="131"/>
      <c r="BN73" s="131"/>
      <c r="BO73" s="131"/>
      <c r="BP73" s="131"/>
      <c r="BQ73" s="131"/>
      <c r="BR73" s="131"/>
      <c r="BS73" s="131"/>
      <c r="BT73" s="131"/>
      <c r="BU73" s="131"/>
      <c r="BV73" s="131"/>
      <c r="BW73" s="131"/>
      <c r="BX73" s="134"/>
      <c r="BY73" s="131"/>
      <c r="BZ73" s="134"/>
      <c r="CA73" s="76">
        <f t="shared" si="13"/>
        <v>100</v>
      </c>
      <c r="CB73" s="76">
        <f t="shared" si="14"/>
        <v>100</v>
      </c>
      <c r="CC73" s="76">
        <f t="shared" si="15"/>
        <v>100</v>
      </c>
      <c r="CD73" s="76">
        <f t="shared" si="16"/>
        <v>100</v>
      </c>
      <c r="CE73" s="76">
        <f t="shared" si="17"/>
        <v>100</v>
      </c>
      <c r="CF73" s="76">
        <v>71</v>
      </c>
      <c r="CG73" s="76" t="s">
        <v>136</v>
      </c>
      <c r="CH73" s="76"/>
      <c r="CI73" s="181"/>
    </row>
    <row r="74" spans="1:87" ht="15.75" thickBot="1" x14ac:dyDescent="0.3">
      <c r="A74" s="131"/>
      <c r="B74" s="132"/>
      <c r="C74" s="132"/>
      <c r="D74" s="132"/>
      <c r="E74" s="133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4"/>
      <c r="AP74" s="134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  <c r="BE74" s="131"/>
      <c r="BF74" s="131"/>
      <c r="BG74" s="131"/>
      <c r="BH74" s="131"/>
      <c r="BI74" s="131"/>
      <c r="BJ74" s="131"/>
      <c r="BK74" s="131"/>
      <c r="BL74" s="131"/>
      <c r="BM74" s="131"/>
      <c r="BN74" s="131"/>
      <c r="BO74" s="131"/>
      <c r="BP74" s="131"/>
      <c r="BQ74" s="131"/>
      <c r="BR74" s="131"/>
      <c r="BS74" s="131"/>
      <c r="BT74" s="131"/>
      <c r="BU74" s="131"/>
      <c r="BV74" s="131"/>
      <c r="BW74" s="131"/>
      <c r="BX74" s="134"/>
      <c r="BY74" s="131"/>
      <c r="BZ74" s="134"/>
      <c r="CA74" s="76">
        <f t="shared" si="13"/>
        <v>100</v>
      </c>
      <c r="CB74" s="76">
        <f t="shared" si="14"/>
        <v>100</v>
      </c>
      <c r="CC74" s="76">
        <f t="shared" si="15"/>
        <v>100</v>
      </c>
      <c r="CD74" s="76">
        <f t="shared" si="16"/>
        <v>100</v>
      </c>
      <c r="CE74" s="76">
        <f t="shared" si="17"/>
        <v>100</v>
      </c>
      <c r="CF74" s="76">
        <v>72</v>
      </c>
      <c r="CG74" s="76" t="s">
        <v>136</v>
      </c>
      <c r="CH74" s="76"/>
      <c r="CI74" s="181"/>
    </row>
    <row r="75" spans="1:87" ht="15.75" thickBot="1" x14ac:dyDescent="0.3">
      <c r="A75" s="131"/>
      <c r="B75" s="132"/>
      <c r="C75" s="132"/>
      <c r="D75" s="132"/>
      <c r="E75" s="133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4"/>
      <c r="AP75" s="134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  <c r="BE75" s="131"/>
      <c r="BF75" s="131"/>
      <c r="BG75" s="131"/>
      <c r="BH75" s="131"/>
      <c r="BI75" s="131"/>
      <c r="BJ75" s="131"/>
      <c r="BK75" s="131"/>
      <c r="BL75" s="131"/>
      <c r="BM75" s="131"/>
      <c r="BN75" s="131"/>
      <c r="BO75" s="131"/>
      <c r="BP75" s="131"/>
      <c r="BQ75" s="131"/>
      <c r="BR75" s="131"/>
      <c r="BS75" s="131"/>
      <c r="BT75" s="131"/>
      <c r="BU75" s="131"/>
      <c r="BV75" s="131"/>
      <c r="BW75" s="131"/>
      <c r="BX75" s="134"/>
      <c r="BY75" s="131"/>
      <c r="BZ75" s="134"/>
      <c r="CA75" s="76">
        <f t="shared" si="13"/>
        <v>100</v>
      </c>
      <c r="CB75" s="76">
        <f t="shared" si="14"/>
        <v>100</v>
      </c>
      <c r="CC75" s="76">
        <f t="shared" si="15"/>
        <v>100</v>
      </c>
      <c r="CD75" s="76">
        <f t="shared" si="16"/>
        <v>100</v>
      </c>
      <c r="CE75" s="76">
        <f t="shared" si="17"/>
        <v>100</v>
      </c>
      <c r="CF75" s="76">
        <v>73</v>
      </c>
      <c r="CG75" s="76" t="s">
        <v>136</v>
      </c>
      <c r="CH75" s="76"/>
      <c r="CI75" s="181"/>
    </row>
    <row r="76" spans="1:87" ht="15.75" thickBot="1" x14ac:dyDescent="0.3">
      <c r="A76" s="131"/>
      <c r="B76" s="132"/>
      <c r="C76" s="132"/>
      <c r="D76" s="132"/>
      <c r="E76" s="133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4"/>
      <c r="AP76" s="134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131"/>
      <c r="BN76" s="131"/>
      <c r="BO76" s="131"/>
      <c r="BP76" s="131"/>
      <c r="BQ76" s="131"/>
      <c r="BR76" s="131"/>
      <c r="BS76" s="131"/>
      <c r="BT76" s="131"/>
      <c r="BU76" s="131"/>
      <c r="BV76" s="131"/>
      <c r="BW76" s="131"/>
      <c r="BX76" s="134"/>
      <c r="BY76" s="131"/>
      <c r="BZ76" s="134"/>
      <c r="CA76" s="76">
        <f t="shared" si="13"/>
        <v>100</v>
      </c>
      <c r="CB76" s="76">
        <f t="shared" si="14"/>
        <v>100</v>
      </c>
      <c r="CC76" s="76">
        <f t="shared" si="15"/>
        <v>100</v>
      </c>
      <c r="CD76" s="76">
        <f t="shared" si="16"/>
        <v>100</v>
      </c>
      <c r="CE76" s="76">
        <f t="shared" si="17"/>
        <v>100</v>
      </c>
      <c r="CF76" s="76">
        <v>74</v>
      </c>
      <c r="CG76" s="76" t="s">
        <v>136</v>
      </c>
      <c r="CH76" s="76"/>
      <c r="CI76" s="181"/>
    </row>
    <row r="77" spans="1:87" ht="15.75" thickBot="1" x14ac:dyDescent="0.3">
      <c r="A77" s="131"/>
      <c r="B77" s="132"/>
      <c r="C77" s="132"/>
      <c r="D77" s="132"/>
      <c r="E77" s="133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4"/>
      <c r="AP77" s="134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  <c r="BE77" s="131"/>
      <c r="BF77" s="131"/>
      <c r="BG77" s="131"/>
      <c r="BH77" s="131"/>
      <c r="BI77" s="131"/>
      <c r="BJ77" s="131"/>
      <c r="BK77" s="131"/>
      <c r="BL77" s="131"/>
      <c r="BM77" s="131"/>
      <c r="BN77" s="131"/>
      <c r="BO77" s="131"/>
      <c r="BP77" s="131"/>
      <c r="BQ77" s="131"/>
      <c r="BR77" s="131"/>
      <c r="BS77" s="131"/>
      <c r="BT77" s="131"/>
      <c r="BU77" s="131"/>
      <c r="BV77" s="131"/>
      <c r="BW77" s="131"/>
      <c r="BX77" s="134"/>
      <c r="BY77" s="131"/>
      <c r="BZ77" s="134"/>
      <c r="CA77" s="76">
        <f t="shared" si="13"/>
        <v>100</v>
      </c>
      <c r="CB77" s="76">
        <f t="shared" si="14"/>
        <v>100</v>
      </c>
      <c r="CC77" s="76">
        <f t="shared" si="15"/>
        <v>100</v>
      </c>
      <c r="CD77" s="76">
        <f t="shared" si="16"/>
        <v>100</v>
      </c>
      <c r="CE77" s="76">
        <f t="shared" si="17"/>
        <v>100</v>
      </c>
      <c r="CF77" s="76">
        <v>75</v>
      </c>
      <c r="CG77" s="76" t="s">
        <v>136</v>
      </c>
      <c r="CH77" s="76"/>
      <c r="CI77" s="181"/>
    </row>
    <row r="78" spans="1:87" ht="15.75" thickBot="1" x14ac:dyDescent="0.3">
      <c r="A78" s="131"/>
      <c r="B78" s="132"/>
      <c r="C78" s="132"/>
      <c r="D78" s="132"/>
      <c r="E78" s="133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4"/>
      <c r="AP78" s="134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  <c r="BE78" s="131"/>
      <c r="BF78" s="131"/>
      <c r="BG78" s="131"/>
      <c r="BH78" s="131"/>
      <c r="BI78" s="131"/>
      <c r="BJ78" s="131"/>
      <c r="BK78" s="131"/>
      <c r="BL78" s="131"/>
      <c r="BM78" s="131"/>
      <c r="BN78" s="131"/>
      <c r="BO78" s="131"/>
      <c r="BP78" s="131"/>
      <c r="BQ78" s="131"/>
      <c r="BR78" s="131"/>
      <c r="BS78" s="131"/>
      <c r="BT78" s="131"/>
      <c r="BU78" s="131"/>
      <c r="BV78" s="131"/>
      <c r="BW78" s="131"/>
      <c r="BX78" s="134"/>
      <c r="BY78" s="131"/>
      <c r="BZ78" s="134"/>
      <c r="CA78" s="76">
        <f t="shared" si="13"/>
        <v>100</v>
      </c>
      <c r="CB78" s="76">
        <f t="shared" si="14"/>
        <v>100</v>
      </c>
      <c r="CC78" s="76">
        <f t="shared" si="15"/>
        <v>100</v>
      </c>
      <c r="CD78" s="76">
        <f t="shared" si="16"/>
        <v>100</v>
      </c>
      <c r="CE78" s="76">
        <f t="shared" si="17"/>
        <v>100</v>
      </c>
      <c r="CF78" s="76">
        <v>76</v>
      </c>
      <c r="CG78" s="76" t="s">
        <v>136</v>
      </c>
      <c r="CH78" s="76"/>
      <c r="CI78" s="181"/>
    </row>
    <row r="79" spans="1:87" ht="15.75" thickBot="1" x14ac:dyDescent="0.3">
      <c r="A79" s="131"/>
      <c r="B79" s="132"/>
      <c r="C79" s="132"/>
      <c r="D79" s="132"/>
      <c r="E79" s="133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4"/>
      <c r="AP79" s="134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  <c r="BE79" s="131"/>
      <c r="BF79" s="131"/>
      <c r="BG79" s="131"/>
      <c r="BH79" s="131"/>
      <c r="BI79" s="131"/>
      <c r="BJ79" s="131"/>
      <c r="BK79" s="131"/>
      <c r="BL79" s="131"/>
      <c r="BM79" s="131"/>
      <c r="BN79" s="131"/>
      <c r="BO79" s="131"/>
      <c r="BP79" s="131"/>
      <c r="BQ79" s="131"/>
      <c r="BR79" s="131"/>
      <c r="BS79" s="131"/>
      <c r="BT79" s="131"/>
      <c r="BU79" s="131"/>
      <c r="BV79" s="131"/>
      <c r="BW79" s="131"/>
      <c r="BX79" s="134"/>
      <c r="BY79" s="131"/>
      <c r="BZ79" s="134"/>
      <c r="CA79" s="76">
        <f t="shared" si="13"/>
        <v>100</v>
      </c>
      <c r="CB79" s="76">
        <f t="shared" si="14"/>
        <v>100</v>
      </c>
      <c r="CC79" s="76">
        <f t="shared" si="15"/>
        <v>100</v>
      </c>
      <c r="CD79" s="76">
        <f t="shared" si="16"/>
        <v>100</v>
      </c>
      <c r="CE79" s="76">
        <f t="shared" si="17"/>
        <v>100</v>
      </c>
      <c r="CF79" s="76">
        <v>77</v>
      </c>
      <c r="CG79" s="76" t="s">
        <v>136</v>
      </c>
      <c r="CH79" s="76"/>
      <c r="CI79" s="181"/>
    </row>
    <row r="80" spans="1:87" ht="15.75" thickBot="1" x14ac:dyDescent="0.3">
      <c r="A80" s="131"/>
      <c r="B80" s="132"/>
      <c r="C80" s="132"/>
      <c r="D80" s="132"/>
      <c r="E80" s="133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4"/>
      <c r="AP80" s="134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  <c r="BE80" s="131"/>
      <c r="BF80" s="131"/>
      <c r="BG80" s="131"/>
      <c r="BH80" s="131"/>
      <c r="BI80" s="131"/>
      <c r="BJ80" s="131"/>
      <c r="BK80" s="131"/>
      <c r="BL80" s="131"/>
      <c r="BM80" s="131"/>
      <c r="BN80" s="131"/>
      <c r="BO80" s="131"/>
      <c r="BP80" s="131"/>
      <c r="BQ80" s="131"/>
      <c r="BR80" s="131"/>
      <c r="BS80" s="131"/>
      <c r="BT80" s="131"/>
      <c r="BU80" s="131"/>
      <c r="BV80" s="131"/>
      <c r="BW80" s="131"/>
      <c r="BX80" s="134"/>
      <c r="BY80" s="131"/>
      <c r="BZ80" s="134"/>
      <c r="CA80" s="76">
        <f t="shared" si="13"/>
        <v>100</v>
      </c>
      <c r="CB80" s="76">
        <f t="shared" si="14"/>
        <v>100</v>
      </c>
      <c r="CC80" s="76">
        <f t="shared" si="15"/>
        <v>100</v>
      </c>
      <c r="CD80" s="76">
        <f t="shared" si="16"/>
        <v>100</v>
      </c>
      <c r="CE80" s="76">
        <f t="shared" si="17"/>
        <v>100</v>
      </c>
      <c r="CF80" s="76">
        <v>78</v>
      </c>
      <c r="CG80" s="76" t="s">
        <v>136</v>
      </c>
      <c r="CH80" s="76"/>
      <c r="CI80" s="181"/>
    </row>
    <row r="81" spans="1:87" ht="15.75" thickBot="1" x14ac:dyDescent="0.3">
      <c r="A81" s="131"/>
      <c r="B81" s="132"/>
      <c r="C81" s="132"/>
      <c r="D81" s="132"/>
      <c r="E81" s="133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4"/>
      <c r="AP81" s="134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131"/>
      <c r="BQ81" s="131"/>
      <c r="BR81" s="131"/>
      <c r="BS81" s="131"/>
      <c r="BT81" s="131"/>
      <c r="BU81" s="131"/>
      <c r="BV81" s="131"/>
      <c r="BW81" s="131"/>
      <c r="BX81" s="134"/>
      <c r="BY81" s="131"/>
      <c r="BZ81" s="134"/>
      <c r="CA81" s="76">
        <f t="shared" si="13"/>
        <v>100</v>
      </c>
      <c r="CB81" s="76">
        <f t="shared" si="14"/>
        <v>100</v>
      </c>
      <c r="CC81" s="76">
        <f t="shared" si="15"/>
        <v>100</v>
      </c>
      <c r="CD81" s="76">
        <f t="shared" si="16"/>
        <v>100</v>
      </c>
      <c r="CE81" s="76">
        <f t="shared" si="17"/>
        <v>100</v>
      </c>
      <c r="CF81" s="76">
        <v>79</v>
      </c>
      <c r="CG81" s="76" t="s">
        <v>136</v>
      </c>
      <c r="CH81" s="76"/>
      <c r="CI81" s="181"/>
    </row>
    <row r="82" spans="1:87" ht="15.75" thickBot="1" x14ac:dyDescent="0.3">
      <c r="A82" s="131"/>
      <c r="B82" s="132"/>
      <c r="C82" s="132"/>
      <c r="D82" s="132"/>
      <c r="E82" s="133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4"/>
      <c r="AP82" s="134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  <c r="BE82" s="131"/>
      <c r="BF82" s="131"/>
      <c r="BG82" s="131"/>
      <c r="BH82" s="131"/>
      <c r="BI82" s="131"/>
      <c r="BJ82" s="131"/>
      <c r="BK82" s="131"/>
      <c r="BL82" s="131"/>
      <c r="BM82" s="131"/>
      <c r="BN82" s="131"/>
      <c r="BO82" s="131"/>
      <c r="BP82" s="131"/>
      <c r="BQ82" s="131"/>
      <c r="BR82" s="131"/>
      <c r="BS82" s="131"/>
      <c r="BT82" s="131"/>
      <c r="BU82" s="131"/>
      <c r="BV82" s="131"/>
      <c r="BW82" s="131"/>
      <c r="BX82" s="134"/>
      <c r="BY82" s="131"/>
      <c r="BZ82" s="134"/>
      <c r="CA82" s="76">
        <f t="shared" si="13"/>
        <v>100</v>
      </c>
      <c r="CB82" s="76">
        <f t="shared" si="14"/>
        <v>100</v>
      </c>
      <c r="CC82" s="76">
        <f t="shared" si="15"/>
        <v>100</v>
      </c>
      <c r="CD82" s="76">
        <f t="shared" si="16"/>
        <v>100</v>
      </c>
      <c r="CE82" s="76">
        <f t="shared" si="17"/>
        <v>100</v>
      </c>
      <c r="CF82" s="76">
        <v>80</v>
      </c>
      <c r="CG82" s="76" t="s">
        <v>136</v>
      </c>
      <c r="CH82" s="76"/>
      <c r="CI82" s="181"/>
    </row>
    <row r="83" spans="1:87" ht="15.75" thickBot="1" x14ac:dyDescent="0.3">
      <c r="A83" s="131"/>
      <c r="B83" s="132"/>
      <c r="C83" s="132"/>
      <c r="D83" s="132"/>
      <c r="E83" s="133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4"/>
      <c r="AP83" s="134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  <c r="BE83" s="131"/>
      <c r="BF83" s="131"/>
      <c r="BG83" s="131"/>
      <c r="BH83" s="131"/>
      <c r="BI83" s="131"/>
      <c r="BJ83" s="131"/>
      <c r="BK83" s="131"/>
      <c r="BL83" s="131"/>
      <c r="BM83" s="131"/>
      <c r="BN83" s="131"/>
      <c r="BO83" s="131"/>
      <c r="BP83" s="131"/>
      <c r="BQ83" s="131"/>
      <c r="BR83" s="131"/>
      <c r="BS83" s="131"/>
      <c r="BT83" s="131"/>
      <c r="BU83" s="131"/>
      <c r="BV83" s="131"/>
      <c r="BW83" s="131"/>
      <c r="BX83" s="134"/>
      <c r="BY83" s="131"/>
      <c r="BZ83" s="134"/>
      <c r="CA83" s="76">
        <f t="shared" ref="CA83:CA113" si="18">IF(K83="NO",0,$K$1)+IF(L83="NO",0,$L$1)+IF(M83="NO",0,$M$1)+IF(N83="NO",0,$N$1)+IF(O83="NO",0,$O$1)+IF(P83="NO",0,$P$1)+IF(Q83="NO",0,$Q$1)+IF(R83="NO",0,$R$1)+IF(S83="NO",0,$S$1)+IF(T83="NO",0,$T$1)+IF(U83="NO",0,$U$1)+IF(V83="NO",0,$V$1)+IF(W83="NO",0,$W$1)+IF(X83="NO",0,$X$1)+IF(Y83="NO",0,$Y$1)+IF(Z83="NO",0,$Z$1)+IF(AA83="NO",$AA$1,IF(AB83="NO",0,$AB$1)+IF(AC83="NO",0,$AC$1)+IF(AD83="NO",0,$AD$1)+IF(AE83="NO",0,$AE$1)+IF(AF83="NO",0,$AF$1)+IF(AG83="NO",0,$AG$1)+IF(AH83="NO",0,$AH$1)+IF(AI83="NO",0,$AI$1)+IF(AJ83="NO",0,$AJ$1)+IF(AK83="NO",0,$AK$1)+IF(AL83="NO",0,$AL$1)+IF(AM83="NO",0,$AM$1)+IF(AN83="NO",0,$AN$1))</f>
        <v>100</v>
      </c>
      <c r="CB83" s="76">
        <f t="shared" ref="CB83:CB113" si="19">IF(AQ83="NO",0,$AQ$1)+IF(AR83="NO",0,$AR$1)+IF(AS83="NO",0,$AS$1)+IF(AT83="NO",0,$AT$1)+IF(AU83="NO",0,$AU$1)+IF(AV83="NO",0,$AV$1)+IF(AW83="NO",0,$AW$1)+IF(AX83="NO",0,$AX$1)+IF(AY83="NO",0,$AY$1)+IF(AZ83="NO",0,$AZ$1)+IF(BA83="NO",0,$BA$1)+IF(BB83="NO",0,$BB$1)+IF(BC83="NO",0,$BC$1)+IF(BD83="NO",0,$BD$1)+IF(BE83="NO",0,$BE$1)+IF(BF83="NO",0,$BF$1)</f>
        <v>100</v>
      </c>
      <c r="CC83" s="76">
        <f t="shared" ref="CC83:CC113" si="20">IF(BG83="NO",0,$BG$1)+IF(BH83="NO",0,$BH$1)+IF(BI83="NO",0,$BI$1)+IF(BJ83="NO",0,$BJ$1)+IF(BK83="NO",0,$BK$1)+IF(BL83="NO",0,$BL$1)+IF(BM83="NO",0,$BM$1)+IF(BN83="NO",0,$BN$1)+IF(BO83="NO",0,$BO$1)+IF(BP83="NO",0,$BP$1)+IF(BQ83="NO",0,$BQ$1)</f>
        <v>100</v>
      </c>
      <c r="CD83" s="76">
        <f t="shared" ref="CD83:CD113" si="21">IF(BR83="NO",0,$BR$1)+IF(BS83="NO",0,$BS$1)+IF(BT83="NO",0,$BT$1)+IF(BU83="NO",0,$BU$1)+IF(BV83="NO",0,$BV$1)+IF(BW83="NO",0,$BW$1)</f>
        <v>100</v>
      </c>
      <c r="CE83" s="76">
        <f t="shared" ref="CE83:CE113" si="22">IF(BY83="NO",0,$BY$1)</f>
        <v>100</v>
      </c>
      <c r="CF83" s="76">
        <v>81</v>
      </c>
      <c r="CG83" s="76" t="s">
        <v>136</v>
      </c>
      <c r="CH83" s="76"/>
      <c r="CI83" s="181"/>
    </row>
    <row r="84" spans="1:87" ht="15.75" thickBot="1" x14ac:dyDescent="0.3">
      <c r="A84" s="131"/>
      <c r="B84" s="132"/>
      <c r="C84" s="132"/>
      <c r="D84" s="132"/>
      <c r="E84" s="133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4"/>
      <c r="AP84" s="134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4"/>
      <c r="BY84" s="131"/>
      <c r="BZ84" s="134"/>
      <c r="CA84" s="76">
        <f t="shared" si="18"/>
        <v>100</v>
      </c>
      <c r="CB84" s="76">
        <f t="shared" si="19"/>
        <v>100</v>
      </c>
      <c r="CC84" s="76">
        <f t="shared" si="20"/>
        <v>100</v>
      </c>
      <c r="CD84" s="76">
        <f t="shared" si="21"/>
        <v>100</v>
      </c>
      <c r="CE84" s="76">
        <f t="shared" si="22"/>
        <v>100</v>
      </c>
      <c r="CF84" s="76">
        <v>82</v>
      </c>
      <c r="CG84" s="76" t="s">
        <v>136</v>
      </c>
      <c r="CH84" s="76"/>
      <c r="CI84" s="181"/>
    </row>
    <row r="85" spans="1:87" ht="15.75" thickBot="1" x14ac:dyDescent="0.3">
      <c r="A85" s="131"/>
      <c r="B85" s="132"/>
      <c r="C85" s="132"/>
      <c r="D85" s="132"/>
      <c r="E85" s="133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4"/>
      <c r="AP85" s="134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  <c r="BE85" s="131"/>
      <c r="BF85" s="131"/>
      <c r="BG85" s="131"/>
      <c r="BH85" s="131"/>
      <c r="BI85" s="131"/>
      <c r="BJ85" s="131"/>
      <c r="BK85" s="131"/>
      <c r="BL85" s="131"/>
      <c r="BM85" s="131"/>
      <c r="BN85" s="131"/>
      <c r="BO85" s="131"/>
      <c r="BP85" s="131"/>
      <c r="BQ85" s="131"/>
      <c r="BR85" s="131"/>
      <c r="BS85" s="131"/>
      <c r="BT85" s="131"/>
      <c r="BU85" s="131"/>
      <c r="BV85" s="131"/>
      <c r="BW85" s="131"/>
      <c r="BX85" s="134"/>
      <c r="BY85" s="131"/>
      <c r="BZ85" s="134"/>
      <c r="CA85" s="76">
        <f t="shared" si="18"/>
        <v>100</v>
      </c>
      <c r="CB85" s="76">
        <f t="shared" si="19"/>
        <v>100</v>
      </c>
      <c r="CC85" s="76">
        <f t="shared" si="20"/>
        <v>100</v>
      </c>
      <c r="CD85" s="76">
        <f t="shared" si="21"/>
        <v>100</v>
      </c>
      <c r="CE85" s="76">
        <f t="shared" si="22"/>
        <v>100</v>
      </c>
      <c r="CF85" s="76">
        <v>83</v>
      </c>
      <c r="CG85" s="76" t="s">
        <v>136</v>
      </c>
      <c r="CH85" s="76"/>
      <c r="CI85" s="181"/>
    </row>
    <row r="86" spans="1:87" ht="15.75" thickBot="1" x14ac:dyDescent="0.3">
      <c r="A86" s="131"/>
      <c r="B86" s="132"/>
      <c r="C86" s="132"/>
      <c r="D86" s="132"/>
      <c r="E86" s="133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4"/>
      <c r="AP86" s="134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  <c r="BE86" s="131"/>
      <c r="BF86" s="131"/>
      <c r="BG86" s="131"/>
      <c r="BH86" s="131"/>
      <c r="BI86" s="131"/>
      <c r="BJ86" s="131"/>
      <c r="BK86" s="131"/>
      <c r="BL86" s="131"/>
      <c r="BM86" s="131"/>
      <c r="BN86" s="131"/>
      <c r="BO86" s="131"/>
      <c r="BP86" s="131"/>
      <c r="BQ86" s="131"/>
      <c r="BR86" s="131"/>
      <c r="BS86" s="131"/>
      <c r="BT86" s="131"/>
      <c r="BU86" s="131"/>
      <c r="BV86" s="131"/>
      <c r="BW86" s="131"/>
      <c r="BX86" s="134"/>
      <c r="BY86" s="131"/>
      <c r="BZ86" s="134"/>
      <c r="CA86" s="76">
        <f t="shared" si="18"/>
        <v>100</v>
      </c>
      <c r="CB86" s="76">
        <f t="shared" si="19"/>
        <v>100</v>
      </c>
      <c r="CC86" s="76">
        <f t="shared" si="20"/>
        <v>100</v>
      </c>
      <c r="CD86" s="76">
        <f t="shared" si="21"/>
        <v>100</v>
      </c>
      <c r="CE86" s="76">
        <f t="shared" si="22"/>
        <v>100</v>
      </c>
      <c r="CF86" s="76">
        <v>84</v>
      </c>
      <c r="CG86" s="76" t="s">
        <v>136</v>
      </c>
      <c r="CH86" s="76"/>
      <c r="CI86" s="181"/>
    </row>
    <row r="87" spans="1:87" ht="15.75" thickBot="1" x14ac:dyDescent="0.3">
      <c r="A87" s="131"/>
      <c r="B87" s="132"/>
      <c r="C87" s="132"/>
      <c r="D87" s="132"/>
      <c r="E87" s="133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4"/>
      <c r="AP87" s="134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  <c r="BE87" s="131"/>
      <c r="BF87" s="131"/>
      <c r="BG87" s="131"/>
      <c r="BH87" s="131"/>
      <c r="BI87" s="131"/>
      <c r="BJ87" s="131"/>
      <c r="BK87" s="131"/>
      <c r="BL87" s="131"/>
      <c r="BM87" s="131"/>
      <c r="BN87" s="131"/>
      <c r="BO87" s="131"/>
      <c r="BP87" s="131"/>
      <c r="BQ87" s="131"/>
      <c r="BR87" s="131"/>
      <c r="BS87" s="131"/>
      <c r="BT87" s="131"/>
      <c r="BU87" s="131"/>
      <c r="BV87" s="131"/>
      <c r="BW87" s="131"/>
      <c r="BX87" s="134"/>
      <c r="BY87" s="131"/>
      <c r="BZ87" s="134"/>
      <c r="CA87" s="76">
        <f t="shared" si="18"/>
        <v>100</v>
      </c>
      <c r="CB87" s="76">
        <f t="shared" si="19"/>
        <v>100</v>
      </c>
      <c r="CC87" s="76">
        <f t="shared" si="20"/>
        <v>100</v>
      </c>
      <c r="CD87" s="76">
        <f t="shared" si="21"/>
        <v>100</v>
      </c>
      <c r="CE87" s="76">
        <f t="shared" si="22"/>
        <v>100</v>
      </c>
      <c r="CF87" s="76">
        <v>85</v>
      </c>
      <c r="CG87" s="76" t="s">
        <v>136</v>
      </c>
      <c r="CH87" s="76"/>
      <c r="CI87" s="181"/>
    </row>
    <row r="88" spans="1:87" ht="15.75" thickBot="1" x14ac:dyDescent="0.3">
      <c r="A88" s="131"/>
      <c r="B88" s="132"/>
      <c r="C88" s="132"/>
      <c r="D88" s="132"/>
      <c r="E88" s="133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4"/>
      <c r="AP88" s="134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  <c r="BE88" s="131"/>
      <c r="BF88" s="131"/>
      <c r="BG88" s="131"/>
      <c r="BH88" s="131"/>
      <c r="BI88" s="131"/>
      <c r="BJ88" s="131"/>
      <c r="BK88" s="131"/>
      <c r="BL88" s="131"/>
      <c r="BM88" s="131"/>
      <c r="BN88" s="131"/>
      <c r="BO88" s="131"/>
      <c r="BP88" s="131"/>
      <c r="BQ88" s="131"/>
      <c r="BR88" s="131"/>
      <c r="BS88" s="131"/>
      <c r="BT88" s="131"/>
      <c r="BU88" s="131"/>
      <c r="BV88" s="131"/>
      <c r="BW88" s="131"/>
      <c r="BX88" s="134"/>
      <c r="BY88" s="131"/>
      <c r="BZ88" s="134"/>
      <c r="CA88" s="76">
        <f t="shared" si="18"/>
        <v>100</v>
      </c>
      <c r="CB88" s="76">
        <f t="shared" si="19"/>
        <v>100</v>
      </c>
      <c r="CC88" s="76">
        <f t="shared" si="20"/>
        <v>100</v>
      </c>
      <c r="CD88" s="76">
        <f t="shared" si="21"/>
        <v>100</v>
      </c>
      <c r="CE88" s="76">
        <f t="shared" si="22"/>
        <v>100</v>
      </c>
      <c r="CF88" s="76">
        <v>86</v>
      </c>
      <c r="CG88" s="76" t="s">
        <v>136</v>
      </c>
      <c r="CH88" s="76"/>
      <c r="CI88" s="181"/>
    </row>
    <row r="89" spans="1:87" ht="15.75" thickBot="1" x14ac:dyDescent="0.3">
      <c r="A89" s="131"/>
      <c r="B89" s="132"/>
      <c r="C89" s="132"/>
      <c r="D89" s="132"/>
      <c r="E89" s="133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4"/>
      <c r="AP89" s="134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  <c r="BE89" s="131"/>
      <c r="BF89" s="131"/>
      <c r="BG89" s="131"/>
      <c r="BH89" s="131"/>
      <c r="BI89" s="131"/>
      <c r="BJ89" s="131"/>
      <c r="BK89" s="131"/>
      <c r="BL89" s="131"/>
      <c r="BM89" s="131"/>
      <c r="BN89" s="131"/>
      <c r="BO89" s="131"/>
      <c r="BP89" s="131"/>
      <c r="BQ89" s="131"/>
      <c r="BR89" s="131"/>
      <c r="BS89" s="131"/>
      <c r="BT89" s="131"/>
      <c r="BU89" s="131"/>
      <c r="BV89" s="131"/>
      <c r="BW89" s="131"/>
      <c r="BX89" s="134"/>
      <c r="BY89" s="131"/>
      <c r="BZ89" s="134"/>
      <c r="CA89" s="76">
        <f t="shared" si="18"/>
        <v>100</v>
      </c>
      <c r="CB89" s="76">
        <f t="shared" si="19"/>
        <v>100</v>
      </c>
      <c r="CC89" s="76">
        <f t="shared" si="20"/>
        <v>100</v>
      </c>
      <c r="CD89" s="76">
        <f t="shared" si="21"/>
        <v>100</v>
      </c>
      <c r="CE89" s="76">
        <f t="shared" si="22"/>
        <v>100</v>
      </c>
      <c r="CF89" s="76">
        <v>87</v>
      </c>
      <c r="CG89" s="76" t="s">
        <v>136</v>
      </c>
      <c r="CH89" s="76"/>
      <c r="CI89" s="181"/>
    </row>
    <row r="90" spans="1:87" ht="15.75" thickBot="1" x14ac:dyDescent="0.3">
      <c r="A90" s="131"/>
      <c r="B90" s="132"/>
      <c r="C90" s="132"/>
      <c r="D90" s="132"/>
      <c r="E90" s="133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4"/>
      <c r="AP90" s="134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  <c r="BE90" s="131"/>
      <c r="BF90" s="131"/>
      <c r="BG90" s="131"/>
      <c r="BH90" s="131"/>
      <c r="BI90" s="131"/>
      <c r="BJ90" s="131"/>
      <c r="BK90" s="131"/>
      <c r="BL90" s="131"/>
      <c r="BM90" s="131"/>
      <c r="BN90" s="131"/>
      <c r="BO90" s="131"/>
      <c r="BP90" s="131"/>
      <c r="BQ90" s="131"/>
      <c r="BR90" s="131"/>
      <c r="BS90" s="131"/>
      <c r="BT90" s="131"/>
      <c r="BU90" s="131"/>
      <c r="BV90" s="131"/>
      <c r="BW90" s="131"/>
      <c r="BX90" s="134"/>
      <c r="BY90" s="131"/>
      <c r="BZ90" s="134"/>
      <c r="CA90" s="76">
        <f t="shared" si="18"/>
        <v>100</v>
      </c>
      <c r="CB90" s="76">
        <f t="shared" si="19"/>
        <v>100</v>
      </c>
      <c r="CC90" s="76">
        <f t="shared" si="20"/>
        <v>100</v>
      </c>
      <c r="CD90" s="76">
        <f t="shared" si="21"/>
        <v>100</v>
      </c>
      <c r="CE90" s="76">
        <f t="shared" si="22"/>
        <v>100</v>
      </c>
      <c r="CF90" s="76">
        <v>88</v>
      </c>
      <c r="CG90" s="76" t="s">
        <v>136</v>
      </c>
      <c r="CH90" s="76"/>
      <c r="CI90" s="181"/>
    </row>
    <row r="91" spans="1:87" ht="15.75" thickBot="1" x14ac:dyDescent="0.3">
      <c r="A91" s="131"/>
      <c r="B91" s="132"/>
      <c r="C91" s="132"/>
      <c r="D91" s="132"/>
      <c r="E91" s="133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4"/>
      <c r="AP91" s="134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  <c r="BE91" s="131"/>
      <c r="BF91" s="131"/>
      <c r="BG91" s="131"/>
      <c r="BH91" s="131"/>
      <c r="BI91" s="131"/>
      <c r="BJ91" s="131"/>
      <c r="BK91" s="131"/>
      <c r="BL91" s="131"/>
      <c r="BM91" s="131"/>
      <c r="BN91" s="131"/>
      <c r="BO91" s="131"/>
      <c r="BP91" s="131"/>
      <c r="BQ91" s="131"/>
      <c r="BR91" s="131"/>
      <c r="BS91" s="131"/>
      <c r="BT91" s="131"/>
      <c r="BU91" s="131"/>
      <c r="BV91" s="131"/>
      <c r="BW91" s="131"/>
      <c r="BX91" s="134"/>
      <c r="BY91" s="131"/>
      <c r="BZ91" s="134"/>
      <c r="CA91" s="76">
        <f t="shared" si="18"/>
        <v>100</v>
      </c>
      <c r="CB91" s="76">
        <f t="shared" si="19"/>
        <v>100</v>
      </c>
      <c r="CC91" s="76">
        <f t="shared" si="20"/>
        <v>100</v>
      </c>
      <c r="CD91" s="76">
        <f t="shared" si="21"/>
        <v>100</v>
      </c>
      <c r="CE91" s="76">
        <f t="shared" si="22"/>
        <v>100</v>
      </c>
      <c r="CF91" s="76">
        <v>89</v>
      </c>
      <c r="CG91" s="76" t="s">
        <v>136</v>
      </c>
      <c r="CH91" s="76"/>
      <c r="CI91" s="181"/>
    </row>
    <row r="92" spans="1:87" ht="15.75" thickBot="1" x14ac:dyDescent="0.3">
      <c r="A92" s="131"/>
      <c r="B92" s="132"/>
      <c r="C92" s="132"/>
      <c r="D92" s="132"/>
      <c r="E92" s="133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4"/>
      <c r="AP92" s="134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  <c r="BE92" s="131"/>
      <c r="BF92" s="131"/>
      <c r="BG92" s="131"/>
      <c r="BH92" s="131"/>
      <c r="BI92" s="131"/>
      <c r="BJ92" s="131"/>
      <c r="BK92" s="131"/>
      <c r="BL92" s="131"/>
      <c r="BM92" s="131"/>
      <c r="BN92" s="131"/>
      <c r="BO92" s="131"/>
      <c r="BP92" s="131"/>
      <c r="BQ92" s="131"/>
      <c r="BR92" s="131"/>
      <c r="BS92" s="131"/>
      <c r="BT92" s="131"/>
      <c r="BU92" s="131"/>
      <c r="BV92" s="131"/>
      <c r="BW92" s="131"/>
      <c r="BX92" s="134"/>
      <c r="BY92" s="131"/>
      <c r="BZ92" s="134"/>
      <c r="CA92" s="76">
        <f t="shared" si="18"/>
        <v>100</v>
      </c>
      <c r="CB92" s="76">
        <f t="shared" si="19"/>
        <v>100</v>
      </c>
      <c r="CC92" s="76">
        <f t="shared" si="20"/>
        <v>100</v>
      </c>
      <c r="CD92" s="76">
        <f t="shared" si="21"/>
        <v>100</v>
      </c>
      <c r="CE92" s="76">
        <f t="shared" si="22"/>
        <v>100</v>
      </c>
      <c r="CF92" s="76">
        <v>90</v>
      </c>
      <c r="CG92" s="76" t="s">
        <v>136</v>
      </c>
      <c r="CH92" s="76"/>
      <c r="CI92" s="181"/>
    </row>
    <row r="93" spans="1:87" ht="15.75" thickBot="1" x14ac:dyDescent="0.3">
      <c r="A93" s="131"/>
      <c r="B93" s="132"/>
      <c r="C93" s="132"/>
      <c r="D93" s="132"/>
      <c r="E93" s="133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  <c r="AH93" s="131"/>
      <c r="AI93" s="131"/>
      <c r="AJ93" s="131"/>
      <c r="AK93" s="131"/>
      <c r="AL93" s="131"/>
      <c r="AM93" s="131"/>
      <c r="AN93" s="131"/>
      <c r="AO93" s="134"/>
      <c r="AP93" s="134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  <c r="BE93" s="131"/>
      <c r="BF93" s="131"/>
      <c r="BG93" s="131"/>
      <c r="BH93" s="131"/>
      <c r="BI93" s="131"/>
      <c r="BJ93" s="131"/>
      <c r="BK93" s="131"/>
      <c r="BL93" s="131"/>
      <c r="BM93" s="131"/>
      <c r="BN93" s="131"/>
      <c r="BO93" s="131"/>
      <c r="BP93" s="131"/>
      <c r="BQ93" s="131"/>
      <c r="BR93" s="131"/>
      <c r="BS93" s="131"/>
      <c r="BT93" s="131"/>
      <c r="BU93" s="131"/>
      <c r="BV93" s="131"/>
      <c r="BW93" s="131"/>
      <c r="BX93" s="134"/>
      <c r="BY93" s="131"/>
      <c r="BZ93" s="134"/>
      <c r="CA93" s="76">
        <f t="shared" si="18"/>
        <v>100</v>
      </c>
      <c r="CB93" s="76">
        <f t="shared" si="19"/>
        <v>100</v>
      </c>
      <c r="CC93" s="76">
        <f t="shared" si="20"/>
        <v>100</v>
      </c>
      <c r="CD93" s="76">
        <f t="shared" si="21"/>
        <v>100</v>
      </c>
      <c r="CE93" s="76">
        <f t="shared" si="22"/>
        <v>100</v>
      </c>
      <c r="CF93" s="76">
        <v>91</v>
      </c>
      <c r="CG93" s="76" t="s">
        <v>136</v>
      </c>
      <c r="CH93" s="76"/>
      <c r="CI93" s="181"/>
    </row>
    <row r="94" spans="1:87" ht="15.75" thickBot="1" x14ac:dyDescent="0.3">
      <c r="A94" s="131"/>
      <c r="B94" s="132"/>
      <c r="C94" s="132"/>
      <c r="D94" s="132"/>
      <c r="E94" s="133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4"/>
      <c r="AP94" s="134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  <c r="BE94" s="131"/>
      <c r="BF94" s="131"/>
      <c r="BG94" s="131"/>
      <c r="BH94" s="131"/>
      <c r="BI94" s="131"/>
      <c r="BJ94" s="131"/>
      <c r="BK94" s="131"/>
      <c r="BL94" s="131"/>
      <c r="BM94" s="131"/>
      <c r="BN94" s="131"/>
      <c r="BO94" s="131"/>
      <c r="BP94" s="131"/>
      <c r="BQ94" s="131"/>
      <c r="BR94" s="131"/>
      <c r="BS94" s="131"/>
      <c r="BT94" s="131"/>
      <c r="BU94" s="131"/>
      <c r="BV94" s="131"/>
      <c r="BW94" s="131"/>
      <c r="BX94" s="134"/>
      <c r="BY94" s="131"/>
      <c r="BZ94" s="134"/>
      <c r="CA94" s="76">
        <f t="shared" si="18"/>
        <v>100</v>
      </c>
      <c r="CB94" s="76">
        <f t="shared" si="19"/>
        <v>100</v>
      </c>
      <c r="CC94" s="76">
        <f t="shared" si="20"/>
        <v>100</v>
      </c>
      <c r="CD94" s="76">
        <f t="shared" si="21"/>
        <v>100</v>
      </c>
      <c r="CE94" s="76">
        <f t="shared" si="22"/>
        <v>100</v>
      </c>
      <c r="CF94" s="76">
        <v>92</v>
      </c>
      <c r="CG94" s="76" t="s">
        <v>136</v>
      </c>
      <c r="CH94" s="76"/>
      <c r="CI94" s="181"/>
    </row>
    <row r="95" spans="1:87" ht="15.75" thickBot="1" x14ac:dyDescent="0.3">
      <c r="A95" s="131"/>
      <c r="B95" s="132"/>
      <c r="C95" s="132"/>
      <c r="D95" s="132"/>
      <c r="E95" s="133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4"/>
      <c r="AP95" s="134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  <c r="BE95" s="131"/>
      <c r="BF95" s="131"/>
      <c r="BG95" s="131"/>
      <c r="BH95" s="131"/>
      <c r="BI95" s="131"/>
      <c r="BJ95" s="131"/>
      <c r="BK95" s="131"/>
      <c r="BL95" s="131"/>
      <c r="BM95" s="131"/>
      <c r="BN95" s="131"/>
      <c r="BO95" s="131"/>
      <c r="BP95" s="131"/>
      <c r="BQ95" s="131"/>
      <c r="BR95" s="131"/>
      <c r="BS95" s="131"/>
      <c r="BT95" s="131"/>
      <c r="BU95" s="131"/>
      <c r="BV95" s="131"/>
      <c r="BW95" s="131"/>
      <c r="BX95" s="134"/>
      <c r="BY95" s="131"/>
      <c r="BZ95" s="134"/>
      <c r="CA95" s="76">
        <f t="shared" si="18"/>
        <v>100</v>
      </c>
      <c r="CB95" s="76">
        <f t="shared" si="19"/>
        <v>100</v>
      </c>
      <c r="CC95" s="76">
        <f t="shared" si="20"/>
        <v>100</v>
      </c>
      <c r="CD95" s="76">
        <f t="shared" si="21"/>
        <v>100</v>
      </c>
      <c r="CE95" s="76">
        <f t="shared" si="22"/>
        <v>100</v>
      </c>
      <c r="CF95" s="76">
        <v>93</v>
      </c>
      <c r="CG95" s="76" t="s">
        <v>136</v>
      </c>
      <c r="CH95" s="76"/>
      <c r="CI95" s="181"/>
    </row>
    <row r="96" spans="1:87" ht="15.75" thickBot="1" x14ac:dyDescent="0.3">
      <c r="A96" s="131"/>
      <c r="B96" s="132"/>
      <c r="C96" s="132"/>
      <c r="D96" s="132"/>
      <c r="E96" s="133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  <c r="AH96" s="131"/>
      <c r="AI96" s="131"/>
      <c r="AJ96" s="131"/>
      <c r="AK96" s="131"/>
      <c r="AL96" s="131"/>
      <c r="AM96" s="131"/>
      <c r="AN96" s="131"/>
      <c r="AO96" s="134"/>
      <c r="AP96" s="134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  <c r="BE96" s="131"/>
      <c r="BF96" s="131"/>
      <c r="BG96" s="131"/>
      <c r="BH96" s="131"/>
      <c r="BI96" s="131"/>
      <c r="BJ96" s="131"/>
      <c r="BK96" s="131"/>
      <c r="BL96" s="131"/>
      <c r="BM96" s="131"/>
      <c r="BN96" s="131"/>
      <c r="BO96" s="131"/>
      <c r="BP96" s="131"/>
      <c r="BQ96" s="131"/>
      <c r="BR96" s="131"/>
      <c r="BS96" s="131"/>
      <c r="BT96" s="131"/>
      <c r="BU96" s="131"/>
      <c r="BV96" s="131"/>
      <c r="BW96" s="131"/>
      <c r="BX96" s="134"/>
      <c r="BY96" s="131"/>
      <c r="BZ96" s="134"/>
      <c r="CA96" s="76">
        <f t="shared" si="18"/>
        <v>100</v>
      </c>
      <c r="CB96" s="76">
        <f t="shared" si="19"/>
        <v>100</v>
      </c>
      <c r="CC96" s="76">
        <f t="shared" si="20"/>
        <v>100</v>
      </c>
      <c r="CD96" s="76">
        <f t="shared" si="21"/>
        <v>100</v>
      </c>
      <c r="CE96" s="76">
        <f t="shared" si="22"/>
        <v>100</v>
      </c>
      <c r="CF96" s="76">
        <v>94</v>
      </c>
      <c r="CG96" s="76" t="s">
        <v>136</v>
      </c>
      <c r="CH96" s="76"/>
      <c r="CI96" s="181"/>
    </row>
    <row r="97" spans="1:87" ht="15.75" thickBot="1" x14ac:dyDescent="0.3">
      <c r="A97" s="131"/>
      <c r="B97" s="132"/>
      <c r="C97" s="132"/>
      <c r="D97" s="132"/>
      <c r="E97" s="133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4"/>
      <c r="AP97" s="134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  <c r="BE97" s="131"/>
      <c r="BF97" s="131"/>
      <c r="BG97" s="131"/>
      <c r="BH97" s="131"/>
      <c r="BI97" s="131"/>
      <c r="BJ97" s="131"/>
      <c r="BK97" s="131"/>
      <c r="BL97" s="131"/>
      <c r="BM97" s="131"/>
      <c r="BN97" s="131"/>
      <c r="BO97" s="131"/>
      <c r="BP97" s="131"/>
      <c r="BQ97" s="131"/>
      <c r="BR97" s="131"/>
      <c r="BS97" s="131"/>
      <c r="BT97" s="131"/>
      <c r="BU97" s="131"/>
      <c r="BV97" s="131"/>
      <c r="BW97" s="131"/>
      <c r="BX97" s="134"/>
      <c r="BY97" s="131"/>
      <c r="BZ97" s="134"/>
      <c r="CA97" s="76">
        <f t="shared" si="18"/>
        <v>100</v>
      </c>
      <c r="CB97" s="76">
        <f t="shared" si="19"/>
        <v>100</v>
      </c>
      <c r="CC97" s="76">
        <f t="shared" si="20"/>
        <v>100</v>
      </c>
      <c r="CD97" s="76">
        <f t="shared" si="21"/>
        <v>100</v>
      </c>
      <c r="CE97" s="76">
        <f t="shared" si="22"/>
        <v>100</v>
      </c>
      <c r="CF97" s="76">
        <v>95</v>
      </c>
      <c r="CG97" s="76" t="s">
        <v>136</v>
      </c>
      <c r="CH97" s="76"/>
      <c r="CI97" s="181"/>
    </row>
    <row r="98" spans="1:87" ht="15.75" thickBot="1" x14ac:dyDescent="0.3">
      <c r="A98" s="131"/>
      <c r="B98" s="132"/>
      <c r="C98" s="132"/>
      <c r="D98" s="132"/>
      <c r="E98" s="133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  <c r="AH98" s="131"/>
      <c r="AI98" s="131"/>
      <c r="AJ98" s="131"/>
      <c r="AK98" s="131"/>
      <c r="AL98" s="131"/>
      <c r="AM98" s="131"/>
      <c r="AN98" s="131"/>
      <c r="AO98" s="134"/>
      <c r="AP98" s="134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  <c r="BE98" s="131"/>
      <c r="BF98" s="131"/>
      <c r="BG98" s="131"/>
      <c r="BH98" s="131"/>
      <c r="BI98" s="131"/>
      <c r="BJ98" s="131"/>
      <c r="BK98" s="131"/>
      <c r="BL98" s="131"/>
      <c r="BM98" s="131"/>
      <c r="BN98" s="131"/>
      <c r="BO98" s="131"/>
      <c r="BP98" s="131"/>
      <c r="BQ98" s="131"/>
      <c r="BR98" s="131"/>
      <c r="BS98" s="131"/>
      <c r="BT98" s="131"/>
      <c r="BU98" s="131"/>
      <c r="BV98" s="131"/>
      <c r="BW98" s="131"/>
      <c r="BX98" s="134"/>
      <c r="BY98" s="131"/>
      <c r="BZ98" s="134"/>
      <c r="CA98" s="76">
        <f t="shared" si="18"/>
        <v>100</v>
      </c>
      <c r="CB98" s="76">
        <f t="shared" si="19"/>
        <v>100</v>
      </c>
      <c r="CC98" s="76">
        <f t="shared" si="20"/>
        <v>100</v>
      </c>
      <c r="CD98" s="76">
        <f t="shared" si="21"/>
        <v>100</v>
      </c>
      <c r="CE98" s="76">
        <f t="shared" si="22"/>
        <v>100</v>
      </c>
      <c r="CF98" s="76">
        <v>96</v>
      </c>
      <c r="CG98" s="76" t="s">
        <v>136</v>
      </c>
      <c r="CH98" s="76"/>
      <c r="CI98" s="181"/>
    </row>
    <row r="99" spans="1:87" ht="15.75" thickBot="1" x14ac:dyDescent="0.3">
      <c r="A99" s="131"/>
      <c r="B99" s="132"/>
      <c r="C99" s="132"/>
      <c r="D99" s="132"/>
      <c r="E99" s="133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  <c r="AH99" s="131"/>
      <c r="AI99" s="131"/>
      <c r="AJ99" s="131"/>
      <c r="AK99" s="131"/>
      <c r="AL99" s="131"/>
      <c r="AM99" s="131"/>
      <c r="AN99" s="131"/>
      <c r="AO99" s="134"/>
      <c r="AP99" s="134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  <c r="BE99" s="131"/>
      <c r="BF99" s="131"/>
      <c r="BG99" s="131"/>
      <c r="BH99" s="131"/>
      <c r="BI99" s="131"/>
      <c r="BJ99" s="131"/>
      <c r="BK99" s="131"/>
      <c r="BL99" s="131"/>
      <c r="BM99" s="131"/>
      <c r="BN99" s="131"/>
      <c r="BO99" s="131"/>
      <c r="BP99" s="131"/>
      <c r="BQ99" s="131"/>
      <c r="BR99" s="131"/>
      <c r="BS99" s="131"/>
      <c r="BT99" s="131"/>
      <c r="BU99" s="131"/>
      <c r="BV99" s="131"/>
      <c r="BW99" s="131"/>
      <c r="BX99" s="134"/>
      <c r="BY99" s="131"/>
      <c r="BZ99" s="134"/>
      <c r="CA99" s="76">
        <f t="shared" si="18"/>
        <v>100</v>
      </c>
      <c r="CB99" s="76">
        <f t="shared" si="19"/>
        <v>100</v>
      </c>
      <c r="CC99" s="76">
        <f t="shared" si="20"/>
        <v>100</v>
      </c>
      <c r="CD99" s="76">
        <f t="shared" si="21"/>
        <v>100</v>
      </c>
      <c r="CE99" s="76">
        <f t="shared" si="22"/>
        <v>100</v>
      </c>
      <c r="CF99" s="76">
        <v>97</v>
      </c>
      <c r="CG99" s="76" t="s">
        <v>136</v>
      </c>
      <c r="CH99" s="76"/>
      <c r="CI99" s="181"/>
    </row>
    <row r="100" spans="1:87" ht="15.75" thickBot="1" x14ac:dyDescent="0.3">
      <c r="A100" s="131"/>
      <c r="B100" s="132"/>
      <c r="C100" s="132"/>
      <c r="D100" s="132"/>
      <c r="E100" s="133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31"/>
      <c r="AM100" s="131"/>
      <c r="AN100" s="131"/>
      <c r="AO100" s="134"/>
      <c r="AP100" s="134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  <c r="BE100" s="131"/>
      <c r="BF100" s="131"/>
      <c r="BG100" s="131"/>
      <c r="BH100" s="131"/>
      <c r="BI100" s="131"/>
      <c r="BJ100" s="131"/>
      <c r="BK100" s="131"/>
      <c r="BL100" s="131"/>
      <c r="BM100" s="131"/>
      <c r="BN100" s="131"/>
      <c r="BO100" s="131"/>
      <c r="BP100" s="131"/>
      <c r="BQ100" s="131"/>
      <c r="BR100" s="131"/>
      <c r="BS100" s="131"/>
      <c r="BT100" s="131"/>
      <c r="BU100" s="131"/>
      <c r="BV100" s="131"/>
      <c r="BW100" s="131"/>
      <c r="BX100" s="134"/>
      <c r="BY100" s="131"/>
      <c r="BZ100" s="134"/>
      <c r="CA100" s="76">
        <f t="shared" si="18"/>
        <v>100</v>
      </c>
      <c r="CB100" s="76">
        <f t="shared" si="19"/>
        <v>100</v>
      </c>
      <c r="CC100" s="76">
        <f t="shared" si="20"/>
        <v>100</v>
      </c>
      <c r="CD100" s="76">
        <f t="shared" si="21"/>
        <v>100</v>
      </c>
      <c r="CE100" s="76">
        <f t="shared" si="22"/>
        <v>100</v>
      </c>
      <c r="CF100" s="76">
        <v>98</v>
      </c>
      <c r="CG100" s="76" t="s">
        <v>136</v>
      </c>
      <c r="CH100" s="76"/>
      <c r="CI100" s="181"/>
    </row>
    <row r="101" spans="1:87" ht="15.75" thickBot="1" x14ac:dyDescent="0.3">
      <c r="A101" s="131"/>
      <c r="B101" s="132"/>
      <c r="C101" s="132"/>
      <c r="D101" s="132"/>
      <c r="E101" s="133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4"/>
      <c r="AP101" s="134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  <c r="BE101" s="131"/>
      <c r="BF101" s="131"/>
      <c r="BG101" s="131"/>
      <c r="BH101" s="131"/>
      <c r="BI101" s="131"/>
      <c r="BJ101" s="131"/>
      <c r="BK101" s="131"/>
      <c r="BL101" s="131"/>
      <c r="BM101" s="131"/>
      <c r="BN101" s="131"/>
      <c r="BO101" s="131"/>
      <c r="BP101" s="131"/>
      <c r="BQ101" s="131"/>
      <c r="BR101" s="131"/>
      <c r="BS101" s="131"/>
      <c r="BT101" s="131"/>
      <c r="BU101" s="131"/>
      <c r="BV101" s="131"/>
      <c r="BW101" s="131"/>
      <c r="BX101" s="134"/>
      <c r="BY101" s="131"/>
      <c r="BZ101" s="134"/>
      <c r="CA101" s="76">
        <f t="shared" si="18"/>
        <v>100</v>
      </c>
      <c r="CB101" s="76">
        <f t="shared" si="19"/>
        <v>100</v>
      </c>
      <c r="CC101" s="76">
        <f t="shared" si="20"/>
        <v>100</v>
      </c>
      <c r="CD101" s="76">
        <f t="shared" si="21"/>
        <v>100</v>
      </c>
      <c r="CE101" s="76">
        <f t="shared" si="22"/>
        <v>100</v>
      </c>
      <c r="CF101" s="76">
        <v>99</v>
      </c>
      <c r="CG101" s="76" t="s">
        <v>136</v>
      </c>
      <c r="CH101" s="76"/>
      <c r="CI101" s="181"/>
    </row>
    <row r="102" spans="1:87" ht="15.75" thickBot="1" x14ac:dyDescent="0.3">
      <c r="A102" s="131"/>
      <c r="B102" s="132"/>
      <c r="C102" s="132"/>
      <c r="D102" s="132"/>
      <c r="E102" s="133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4"/>
      <c r="AP102" s="134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  <c r="BT102" s="131"/>
      <c r="BU102" s="131"/>
      <c r="BV102" s="131"/>
      <c r="BW102" s="131"/>
      <c r="BX102" s="134"/>
      <c r="BY102" s="131"/>
      <c r="BZ102" s="134"/>
      <c r="CA102" s="76">
        <f t="shared" si="18"/>
        <v>100</v>
      </c>
      <c r="CB102" s="76">
        <f t="shared" si="19"/>
        <v>100</v>
      </c>
      <c r="CC102" s="76">
        <f t="shared" si="20"/>
        <v>100</v>
      </c>
      <c r="CD102" s="76">
        <f t="shared" si="21"/>
        <v>100</v>
      </c>
      <c r="CE102" s="76">
        <f t="shared" si="22"/>
        <v>100</v>
      </c>
      <c r="CF102" s="76">
        <v>100</v>
      </c>
      <c r="CG102" s="76" t="s">
        <v>136</v>
      </c>
      <c r="CH102" s="76"/>
      <c r="CI102" s="181"/>
    </row>
    <row r="103" spans="1:87" ht="15.75" thickBot="1" x14ac:dyDescent="0.3">
      <c r="A103" s="131"/>
      <c r="B103" s="132"/>
      <c r="C103" s="132"/>
      <c r="D103" s="132"/>
      <c r="E103" s="133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4"/>
      <c r="AP103" s="134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  <c r="BE103" s="131"/>
      <c r="BF103" s="131"/>
      <c r="BG103" s="131"/>
      <c r="BH103" s="131"/>
      <c r="BI103" s="131"/>
      <c r="BJ103" s="131"/>
      <c r="BK103" s="131"/>
      <c r="BL103" s="131"/>
      <c r="BM103" s="131"/>
      <c r="BN103" s="131"/>
      <c r="BO103" s="131"/>
      <c r="BP103" s="131"/>
      <c r="BQ103" s="131"/>
      <c r="BR103" s="131"/>
      <c r="BS103" s="131"/>
      <c r="BT103" s="131"/>
      <c r="BU103" s="131"/>
      <c r="BV103" s="131"/>
      <c r="BW103" s="131"/>
      <c r="BX103" s="134"/>
      <c r="BY103" s="131"/>
      <c r="BZ103" s="134"/>
      <c r="CA103" s="76">
        <f t="shared" si="18"/>
        <v>100</v>
      </c>
      <c r="CB103" s="76">
        <f t="shared" si="19"/>
        <v>100</v>
      </c>
      <c r="CC103" s="76">
        <f t="shared" si="20"/>
        <v>100</v>
      </c>
      <c r="CD103" s="76">
        <f t="shared" si="21"/>
        <v>100</v>
      </c>
      <c r="CE103" s="76">
        <f t="shared" si="22"/>
        <v>100</v>
      </c>
      <c r="CF103" s="76">
        <v>101</v>
      </c>
      <c r="CG103" s="76" t="s">
        <v>136</v>
      </c>
      <c r="CH103" s="76"/>
      <c r="CI103" s="181"/>
    </row>
    <row r="104" spans="1:87" ht="15.75" thickBot="1" x14ac:dyDescent="0.3">
      <c r="A104" s="131"/>
      <c r="B104" s="132"/>
      <c r="C104" s="132"/>
      <c r="D104" s="132"/>
      <c r="E104" s="133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4"/>
      <c r="AP104" s="134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  <c r="BT104" s="131"/>
      <c r="BU104" s="131"/>
      <c r="BV104" s="131"/>
      <c r="BW104" s="131"/>
      <c r="BX104" s="134"/>
      <c r="BY104" s="131"/>
      <c r="BZ104" s="134"/>
      <c r="CA104" s="76">
        <f t="shared" si="18"/>
        <v>100</v>
      </c>
      <c r="CB104" s="76">
        <f t="shared" si="19"/>
        <v>100</v>
      </c>
      <c r="CC104" s="76">
        <f t="shared" si="20"/>
        <v>100</v>
      </c>
      <c r="CD104" s="76">
        <f t="shared" si="21"/>
        <v>100</v>
      </c>
      <c r="CE104" s="76">
        <f t="shared" si="22"/>
        <v>100</v>
      </c>
      <c r="CF104" s="76">
        <v>102</v>
      </c>
      <c r="CG104" s="76" t="s">
        <v>136</v>
      </c>
      <c r="CH104" s="76"/>
      <c r="CI104" s="181"/>
    </row>
    <row r="105" spans="1:87" ht="15.75" thickBot="1" x14ac:dyDescent="0.3">
      <c r="A105" s="131"/>
      <c r="B105" s="132"/>
      <c r="C105" s="132"/>
      <c r="D105" s="132"/>
      <c r="E105" s="133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4"/>
      <c r="AP105" s="134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  <c r="BE105" s="131"/>
      <c r="BF105" s="131"/>
      <c r="BG105" s="131"/>
      <c r="BH105" s="131"/>
      <c r="BI105" s="131"/>
      <c r="BJ105" s="131"/>
      <c r="BK105" s="131"/>
      <c r="BL105" s="131"/>
      <c r="BM105" s="131"/>
      <c r="BN105" s="131"/>
      <c r="BO105" s="131"/>
      <c r="BP105" s="131"/>
      <c r="BQ105" s="131"/>
      <c r="BR105" s="131"/>
      <c r="BS105" s="131"/>
      <c r="BT105" s="131"/>
      <c r="BU105" s="131"/>
      <c r="BV105" s="131"/>
      <c r="BW105" s="131"/>
      <c r="BX105" s="134"/>
      <c r="BY105" s="131"/>
      <c r="BZ105" s="134"/>
      <c r="CA105" s="76">
        <f t="shared" si="18"/>
        <v>100</v>
      </c>
      <c r="CB105" s="76">
        <f t="shared" si="19"/>
        <v>100</v>
      </c>
      <c r="CC105" s="76">
        <f t="shared" si="20"/>
        <v>100</v>
      </c>
      <c r="CD105" s="76">
        <f t="shared" si="21"/>
        <v>100</v>
      </c>
      <c r="CE105" s="76">
        <f t="shared" si="22"/>
        <v>100</v>
      </c>
      <c r="CF105" s="76">
        <v>103</v>
      </c>
      <c r="CG105" s="76" t="s">
        <v>136</v>
      </c>
      <c r="CH105" s="76"/>
      <c r="CI105" s="181"/>
    </row>
    <row r="106" spans="1:87" ht="15.75" thickBot="1" x14ac:dyDescent="0.3">
      <c r="A106" s="131"/>
      <c r="B106" s="132"/>
      <c r="C106" s="132"/>
      <c r="D106" s="132"/>
      <c r="E106" s="133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4"/>
      <c r="AP106" s="134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4"/>
      <c r="BY106" s="131"/>
      <c r="BZ106" s="134"/>
      <c r="CA106" s="76">
        <f t="shared" si="18"/>
        <v>100</v>
      </c>
      <c r="CB106" s="76">
        <f t="shared" si="19"/>
        <v>100</v>
      </c>
      <c r="CC106" s="76">
        <f t="shared" si="20"/>
        <v>100</v>
      </c>
      <c r="CD106" s="76">
        <f t="shared" si="21"/>
        <v>100</v>
      </c>
      <c r="CE106" s="76">
        <f t="shared" si="22"/>
        <v>100</v>
      </c>
      <c r="CF106" s="76">
        <v>104</v>
      </c>
      <c r="CG106" s="76" t="s">
        <v>136</v>
      </c>
      <c r="CH106" s="76"/>
      <c r="CI106" s="181"/>
    </row>
    <row r="107" spans="1:87" ht="15.75" thickBot="1" x14ac:dyDescent="0.3">
      <c r="A107" s="131"/>
      <c r="B107" s="132"/>
      <c r="C107" s="132"/>
      <c r="D107" s="132"/>
      <c r="E107" s="133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4"/>
      <c r="AP107" s="134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  <c r="BE107" s="131"/>
      <c r="BF107" s="131"/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1"/>
      <c r="BQ107" s="131"/>
      <c r="BR107" s="131"/>
      <c r="BS107" s="131"/>
      <c r="BT107" s="131"/>
      <c r="BU107" s="131"/>
      <c r="BV107" s="131"/>
      <c r="BW107" s="131"/>
      <c r="BX107" s="134"/>
      <c r="BY107" s="131"/>
      <c r="BZ107" s="134"/>
      <c r="CA107" s="76">
        <f t="shared" si="18"/>
        <v>100</v>
      </c>
      <c r="CB107" s="76">
        <f t="shared" si="19"/>
        <v>100</v>
      </c>
      <c r="CC107" s="76">
        <f t="shared" si="20"/>
        <v>100</v>
      </c>
      <c r="CD107" s="76">
        <f t="shared" si="21"/>
        <v>100</v>
      </c>
      <c r="CE107" s="76">
        <f t="shared" si="22"/>
        <v>100</v>
      </c>
      <c r="CF107" s="76">
        <v>105</v>
      </c>
      <c r="CG107" s="76" t="s">
        <v>136</v>
      </c>
      <c r="CH107" s="76"/>
      <c r="CI107" s="181"/>
    </row>
    <row r="108" spans="1:87" ht="15.75" thickBot="1" x14ac:dyDescent="0.3">
      <c r="A108" s="131"/>
      <c r="B108" s="132"/>
      <c r="C108" s="132"/>
      <c r="D108" s="132"/>
      <c r="E108" s="133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4"/>
      <c r="AP108" s="134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  <c r="BT108" s="131"/>
      <c r="BU108" s="131"/>
      <c r="BV108" s="131"/>
      <c r="BW108" s="131"/>
      <c r="BX108" s="134"/>
      <c r="BY108" s="131"/>
      <c r="BZ108" s="134"/>
      <c r="CA108" s="76">
        <f t="shared" si="18"/>
        <v>100</v>
      </c>
      <c r="CB108" s="76">
        <f t="shared" si="19"/>
        <v>100</v>
      </c>
      <c r="CC108" s="76">
        <f t="shared" si="20"/>
        <v>100</v>
      </c>
      <c r="CD108" s="76">
        <f t="shared" si="21"/>
        <v>100</v>
      </c>
      <c r="CE108" s="76">
        <f t="shared" si="22"/>
        <v>100</v>
      </c>
      <c r="CF108" s="76">
        <v>106</v>
      </c>
      <c r="CG108" s="76" t="s">
        <v>136</v>
      </c>
      <c r="CH108" s="76"/>
      <c r="CI108" s="181"/>
    </row>
    <row r="109" spans="1:87" ht="15.75" thickBot="1" x14ac:dyDescent="0.3">
      <c r="A109" s="131"/>
      <c r="B109" s="132"/>
      <c r="C109" s="132"/>
      <c r="D109" s="132"/>
      <c r="E109" s="133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4"/>
      <c r="AP109" s="134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  <c r="BE109" s="131"/>
      <c r="BF109" s="131"/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1"/>
      <c r="BQ109" s="131"/>
      <c r="BR109" s="131"/>
      <c r="BS109" s="131"/>
      <c r="BT109" s="131"/>
      <c r="BU109" s="131"/>
      <c r="BV109" s="131"/>
      <c r="BW109" s="131"/>
      <c r="BX109" s="134"/>
      <c r="BY109" s="131"/>
      <c r="BZ109" s="134"/>
      <c r="CA109" s="76">
        <f t="shared" si="18"/>
        <v>100</v>
      </c>
      <c r="CB109" s="76">
        <f t="shared" si="19"/>
        <v>100</v>
      </c>
      <c r="CC109" s="76">
        <f t="shared" si="20"/>
        <v>100</v>
      </c>
      <c r="CD109" s="76">
        <f t="shared" si="21"/>
        <v>100</v>
      </c>
      <c r="CE109" s="76">
        <f t="shared" si="22"/>
        <v>100</v>
      </c>
      <c r="CF109" s="76">
        <v>107</v>
      </c>
      <c r="CG109" s="76" t="s">
        <v>136</v>
      </c>
      <c r="CH109" s="76"/>
      <c r="CI109" s="181"/>
    </row>
    <row r="110" spans="1:87" ht="15.75" thickBot="1" x14ac:dyDescent="0.3">
      <c r="A110" s="131"/>
      <c r="B110" s="132"/>
      <c r="C110" s="132"/>
      <c r="D110" s="132"/>
      <c r="E110" s="133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4"/>
      <c r="AP110" s="134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1"/>
      <c r="BQ110" s="131"/>
      <c r="BR110" s="131"/>
      <c r="BS110" s="131"/>
      <c r="BT110" s="131"/>
      <c r="BU110" s="131"/>
      <c r="BV110" s="131"/>
      <c r="BW110" s="131"/>
      <c r="BX110" s="134"/>
      <c r="BY110" s="131"/>
      <c r="BZ110" s="134"/>
      <c r="CA110" s="76">
        <f t="shared" si="18"/>
        <v>100</v>
      </c>
      <c r="CB110" s="76">
        <f t="shared" si="19"/>
        <v>100</v>
      </c>
      <c r="CC110" s="76">
        <f t="shared" si="20"/>
        <v>100</v>
      </c>
      <c r="CD110" s="76">
        <f t="shared" si="21"/>
        <v>100</v>
      </c>
      <c r="CE110" s="76">
        <f t="shared" si="22"/>
        <v>100</v>
      </c>
      <c r="CF110" s="76">
        <v>108</v>
      </c>
      <c r="CG110" s="76" t="s">
        <v>136</v>
      </c>
      <c r="CH110" s="76"/>
      <c r="CI110" s="181"/>
    </row>
    <row r="111" spans="1:87" ht="15.75" thickBot="1" x14ac:dyDescent="0.3">
      <c r="A111" s="131"/>
      <c r="B111" s="132"/>
      <c r="C111" s="132"/>
      <c r="D111" s="132"/>
      <c r="E111" s="133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4"/>
      <c r="AP111" s="134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1"/>
      <c r="BQ111" s="131"/>
      <c r="BR111" s="131"/>
      <c r="BS111" s="131"/>
      <c r="BT111" s="131"/>
      <c r="BU111" s="131"/>
      <c r="BV111" s="131"/>
      <c r="BW111" s="131"/>
      <c r="BX111" s="134"/>
      <c r="BY111" s="131"/>
      <c r="BZ111" s="134"/>
      <c r="CA111" s="76">
        <f t="shared" si="18"/>
        <v>100</v>
      </c>
      <c r="CB111" s="76">
        <f t="shared" si="19"/>
        <v>100</v>
      </c>
      <c r="CC111" s="76">
        <f t="shared" si="20"/>
        <v>100</v>
      </c>
      <c r="CD111" s="76">
        <f t="shared" si="21"/>
        <v>100</v>
      </c>
      <c r="CE111" s="76">
        <f t="shared" si="22"/>
        <v>100</v>
      </c>
      <c r="CF111" s="76">
        <v>109</v>
      </c>
      <c r="CG111" s="76" t="s">
        <v>136</v>
      </c>
      <c r="CH111" s="76"/>
      <c r="CI111" s="181"/>
    </row>
    <row r="112" spans="1:87" ht="15.75" thickBot="1" x14ac:dyDescent="0.3">
      <c r="A112" s="131"/>
      <c r="B112" s="132"/>
      <c r="C112" s="132"/>
      <c r="D112" s="132"/>
      <c r="E112" s="133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4"/>
      <c r="AP112" s="134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  <c r="BT112" s="131"/>
      <c r="BU112" s="131"/>
      <c r="BV112" s="131"/>
      <c r="BW112" s="131"/>
      <c r="BX112" s="134"/>
      <c r="BY112" s="131"/>
      <c r="BZ112" s="134"/>
      <c r="CA112" s="76">
        <f t="shared" si="18"/>
        <v>100</v>
      </c>
      <c r="CB112" s="76">
        <f t="shared" si="19"/>
        <v>100</v>
      </c>
      <c r="CC112" s="76">
        <f t="shared" si="20"/>
        <v>100</v>
      </c>
      <c r="CD112" s="76">
        <f t="shared" si="21"/>
        <v>100</v>
      </c>
      <c r="CE112" s="76">
        <f t="shared" si="22"/>
        <v>100</v>
      </c>
      <c r="CF112" s="76">
        <v>110</v>
      </c>
      <c r="CG112" s="76" t="s">
        <v>136</v>
      </c>
      <c r="CH112" s="76"/>
      <c r="CI112" s="181"/>
    </row>
    <row r="113" spans="1:87" ht="15.75" thickBot="1" x14ac:dyDescent="0.3">
      <c r="A113" s="131"/>
      <c r="B113" s="132"/>
      <c r="C113" s="132"/>
      <c r="D113" s="132"/>
      <c r="E113" s="133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4"/>
      <c r="AP113" s="134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  <c r="BT113" s="131"/>
      <c r="BU113" s="131"/>
      <c r="BV113" s="131"/>
      <c r="BW113" s="131"/>
      <c r="BX113" s="134"/>
      <c r="BY113" s="131"/>
      <c r="BZ113" s="134"/>
      <c r="CA113" s="76">
        <f t="shared" si="18"/>
        <v>100</v>
      </c>
      <c r="CB113" s="76">
        <f t="shared" si="19"/>
        <v>100</v>
      </c>
      <c r="CC113" s="76">
        <f t="shared" si="20"/>
        <v>100</v>
      </c>
      <c r="CD113" s="76">
        <f t="shared" si="21"/>
        <v>100</v>
      </c>
      <c r="CE113" s="76">
        <f t="shared" si="22"/>
        <v>100</v>
      </c>
      <c r="CF113" s="76">
        <v>111</v>
      </c>
      <c r="CG113" s="76" t="s">
        <v>136</v>
      </c>
      <c r="CH113" s="76"/>
      <c r="CI113" s="181"/>
    </row>
  </sheetData>
  <conditionalFormatting sqref="J2">
    <cfRule type="duplicateValues" dxfId="60" priority="79"/>
    <cfRule type="duplicateValues" dxfId="59" priority="80"/>
    <cfRule type="duplicateValues" dxfId="58" priority="81"/>
  </conditionalFormatting>
  <conditionalFormatting sqref="A2">
    <cfRule type="duplicateValues" dxfId="57" priority="67"/>
    <cfRule type="duplicateValues" dxfId="56" priority="68"/>
    <cfRule type="duplicateValues" dxfId="55" priority="69"/>
  </conditionalFormatting>
  <conditionalFormatting sqref="K4:BZ113 BJ3:BZ3 K3:BH3">
    <cfRule type="containsBlanks" dxfId="54" priority="63">
      <formula>LEN(TRIM(K3))=0</formula>
    </cfRule>
    <cfRule type="containsText" dxfId="53" priority="64" operator="containsText" text="NO">
      <formula>NOT(ISERROR(SEARCH("NO",K3)))</formula>
    </cfRule>
  </conditionalFormatting>
  <conditionalFormatting sqref="J1">
    <cfRule type="duplicateValues" dxfId="52" priority="89"/>
    <cfRule type="duplicateValues" dxfId="51" priority="90"/>
    <cfRule type="duplicateValues" dxfId="50" priority="91"/>
  </conditionalFormatting>
  <conditionalFormatting sqref="J1:J2">
    <cfRule type="duplicateValues" dxfId="49" priority="92"/>
    <cfRule type="duplicateValues" dxfId="48" priority="93"/>
  </conditionalFormatting>
  <conditionalFormatting sqref="A1">
    <cfRule type="duplicateValues" dxfId="47" priority="94"/>
    <cfRule type="duplicateValues" dxfId="46" priority="95"/>
    <cfRule type="duplicateValues" dxfId="45" priority="96"/>
  </conditionalFormatting>
  <conditionalFormatting sqref="A1:A2">
    <cfRule type="duplicateValues" dxfId="44" priority="97"/>
    <cfRule type="duplicateValues" dxfId="43" priority="98"/>
  </conditionalFormatting>
  <conditionalFormatting sqref="J3:J113">
    <cfRule type="duplicateValues" dxfId="42" priority="126"/>
    <cfRule type="duplicateValues" dxfId="41" priority="127"/>
    <cfRule type="duplicateValues" dxfId="40" priority="128"/>
  </conditionalFormatting>
  <conditionalFormatting sqref="J3:J113">
    <cfRule type="duplicateValues" dxfId="39" priority="129"/>
    <cfRule type="duplicateValues" dxfId="38" priority="130"/>
  </conditionalFormatting>
  <conditionalFormatting sqref="A6:A82">
    <cfRule type="duplicateValues" dxfId="37" priority="16"/>
    <cfRule type="duplicateValues" dxfId="36" priority="17"/>
    <cfRule type="duplicateValues" dxfId="35" priority="18"/>
  </conditionalFormatting>
  <conditionalFormatting sqref="A6:A82">
    <cfRule type="duplicateValues" dxfId="34" priority="19"/>
    <cfRule type="duplicateValues" dxfId="33" priority="20"/>
  </conditionalFormatting>
  <conditionalFormatting sqref="A4:A5">
    <cfRule type="duplicateValues" dxfId="32" priority="11"/>
    <cfRule type="duplicateValues" dxfId="31" priority="12"/>
    <cfRule type="duplicateValues" dxfId="30" priority="13"/>
  </conditionalFormatting>
  <conditionalFormatting sqref="A4:A5">
    <cfRule type="duplicateValues" dxfId="29" priority="14"/>
    <cfRule type="duplicateValues" dxfId="28" priority="15"/>
  </conditionalFormatting>
  <conditionalFormatting sqref="A4:A113">
    <cfRule type="duplicateValues" dxfId="27" priority="6"/>
    <cfRule type="duplicateValues" dxfId="26" priority="7"/>
    <cfRule type="duplicateValues" dxfId="25" priority="8"/>
  </conditionalFormatting>
  <conditionalFormatting sqref="A4:A113">
    <cfRule type="duplicateValues" dxfId="24" priority="9"/>
    <cfRule type="duplicateValues" dxfId="23" priority="10"/>
  </conditionalFormatting>
  <conditionalFormatting sqref="A3">
    <cfRule type="duplicateValues" dxfId="22" priority="1"/>
    <cfRule type="duplicateValues" dxfId="21" priority="2"/>
    <cfRule type="duplicateValues" dxfId="20" priority="3"/>
  </conditionalFormatting>
  <conditionalFormatting sqref="A3">
    <cfRule type="duplicateValues" dxfId="19" priority="4"/>
    <cfRule type="duplicateValues" dxfId="18" priority="5"/>
  </conditionalFormatting>
  <hyperlinks>
    <hyperlink ref="BX3" r:id="rId1" xr:uid="{70CAF44B-7A32-459B-8137-924D600F0DFA}"/>
    <hyperlink ref="BZ3" r:id="rId2" xr:uid="{86E054E1-929F-40C5-BB69-94DB2DCA33A8}"/>
    <hyperlink ref="AO3" r:id="rId3" xr:uid="{1F66A89A-E2DA-4C73-8E2D-CB81FFDCE8E7}"/>
    <hyperlink ref="AP3" r:id="rId4" xr:uid="{6A48977F-E0DC-4882-AF8A-8385A36AD916}"/>
  </hyperlink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J254"/>
  <sheetViews>
    <sheetView showGridLines="0" view="pageBreakPreview" topLeftCell="A142" zoomScale="85" zoomScaleNormal="100" zoomScaleSheetLayoutView="85" workbookViewId="0">
      <selection activeCell="A112" sqref="A112"/>
    </sheetView>
  </sheetViews>
  <sheetFormatPr baseColWidth="10" defaultColWidth="11.42578125" defaultRowHeight="15" x14ac:dyDescent="0.25"/>
  <cols>
    <col min="1" max="1" width="19.7109375" style="119" customWidth="1"/>
    <col min="2" max="2" width="19.42578125" style="119" customWidth="1"/>
    <col min="3" max="3" width="72.7109375" style="119" bestFit="1" customWidth="1"/>
    <col min="4" max="4" width="11.42578125" style="120" customWidth="1"/>
    <col min="5" max="5" width="12.85546875" style="119" bestFit="1" customWidth="1"/>
    <col min="6" max="6" width="24.140625" style="119" customWidth="1"/>
    <col min="7" max="16384" width="11.42578125" style="119"/>
  </cols>
  <sheetData>
    <row r="1" spans="1:7" ht="31.5" x14ac:dyDescent="0.25">
      <c r="A1" s="135"/>
      <c r="D1" s="119"/>
      <c r="E1" s="190"/>
      <c r="F1" s="190"/>
    </row>
    <row r="2" spans="1:7" ht="19.5" x14ac:dyDescent="0.25">
      <c r="A2" s="136"/>
      <c r="B2" s="137" t="s">
        <v>82</v>
      </c>
      <c r="C2" s="136"/>
      <c r="D2" s="136"/>
      <c r="E2" s="136"/>
      <c r="F2" s="136"/>
      <c r="G2" s="138"/>
    </row>
    <row r="3" spans="1:7" x14ac:dyDescent="0.25">
      <c r="A3" s="139" t="s">
        <v>58</v>
      </c>
      <c r="B3" s="140" t="e">
        <f>VLOOKUP($B$6,HFC!$A:$CI,5,0)</f>
        <v>#N/A</v>
      </c>
      <c r="C3" s="141"/>
      <c r="D3" s="139" t="s">
        <v>57</v>
      </c>
      <c r="E3" s="212" t="e">
        <f>VLOOKUP($B$6,HFC!$A:$CI,2,0)</f>
        <v>#N/A</v>
      </c>
      <c r="F3" s="212"/>
    </row>
    <row r="4" spans="1:7" x14ac:dyDescent="0.25">
      <c r="A4" s="139" t="s">
        <v>83</v>
      </c>
      <c r="B4" s="140" t="s">
        <v>137</v>
      </c>
      <c r="C4" s="141"/>
      <c r="D4" s="141"/>
      <c r="E4" s="141"/>
      <c r="F4" s="141"/>
      <c r="G4" s="139"/>
    </row>
    <row r="5" spans="1:7" x14ac:dyDescent="0.25">
      <c r="A5" s="135" t="s">
        <v>59</v>
      </c>
      <c r="B5" s="142" t="e">
        <f>VLOOKUP($B$6,HFC!$A:$CI,6,0)</f>
        <v>#N/A</v>
      </c>
      <c r="D5" s="119"/>
      <c r="F5" s="141"/>
    </row>
    <row r="6" spans="1:7" x14ac:dyDescent="0.25">
      <c r="A6" s="135" t="s">
        <v>138</v>
      </c>
      <c r="B6" s="130"/>
      <c r="C6" s="141"/>
      <c r="D6" s="141"/>
      <c r="E6" s="141"/>
      <c r="F6" s="141"/>
      <c r="G6" s="139"/>
    </row>
    <row r="7" spans="1:7" x14ac:dyDescent="0.25">
      <c r="A7" s="139" t="s">
        <v>85</v>
      </c>
      <c r="B7" s="143" t="e">
        <f>VLOOKUP($B$6,HFC!$A:$CI,7,0)</f>
        <v>#N/A</v>
      </c>
      <c r="C7" s="141"/>
      <c r="D7" s="141"/>
      <c r="E7" s="141"/>
      <c r="F7" s="141"/>
      <c r="G7" s="141"/>
    </row>
    <row r="8" spans="1:7" x14ac:dyDescent="0.25">
      <c r="A8" s="141"/>
      <c r="B8" s="141"/>
      <c r="C8" s="144"/>
      <c r="D8" s="144"/>
      <c r="E8" s="144"/>
      <c r="F8" s="144"/>
      <c r="G8" s="141"/>
    </row>
    <row r="9" spans="1:7" ht="25.5" x14ac:dyDescent="0.25">
      <c r="A9" s="213" t="s">
        <v>86</v>
      </c>
      <c r="B9" s="214"/>
      <c r="C9" s="145" t="e">
        <f>VLOOKUP($B$6,HFC!$A:$CI,8,0)</f>
        <v>#N/A</v>
      </c>
      <c r="D9" s="146" t="s">
        <v>87</v>
      </c>
      <c r="E9" s="215"/>
      <c r="F9" s="215"/>
    </row>
    <row r="10" spans="1:7" ht="25.5" x14ac:dyDescent="0.25">
      <c r="A10" s="216" t="s">
        <v>88</v>
      </c>
      <c r="B10" s="217"/>
      <c r="C10" s="145" t="e">
        <f>VLOOKUP($B$6,HFC!$A:$CI,9,0)</f>
        <v>#N/A</v>
      </c>
      <c r="D10" s="146" t="s">
        <v>87</v>
      </c>
      <c r="E10" s="215"/>
      <c r="F10" s="215"/>
    </row>
    <row r="13" spans="1:7" ht="15.75" thickBot="1" x14ac:dyDescent="0.3">
      <c r="F13" s="141"/>
    </row>
    <row r="14" spans="1:7" ht="15.75" thickBot="1" x14ac:dyDescent="0.3">
      <c r="A14" s="9" t="s">
        <v>89</v>
      </c>
      <c r="B14" s="10" t="s">
        <v>90</v>
      </c>
      <c r="C14" s="11" t="s">
        <v>91</v>
      </c>
      <c r="D14" s="12" t="s">
        <v>92</v>
      </c>
      <c r="E14" s="9" t="s">
        <v>93</v>
      </c>
      <c r="F14" s="9" t="s">
        <v>111</v>
      </c>
    </row>
    <row r="15" spans="1:7" x14ac:dyDescent="0.25">
      <c r="A15" s="203" t="s">
        <v>94</v>
      </c>
      <c r="B15" s="206">
        <f>SUM(D15:D23)</f>
        <v>25</v>
      </c>
      <c r="C15" s="147" t="s">
        <v>4</v>
      </c>
      <c r="D15" s="185">
        <v>4</v>
      </c>
      <c r="E15" s="149" t="e">
        <f>VLOOKUP($B$6,HFC!$A:$CI,11,0)</f>
        <v>#N/A</v>
      </c>
      <c r="F15" s="150" t="e">
        <f>IF(E15="si",5,IF(E15="no",0,IF(E15="n/a",5)))</f>
        <v>#N/A</v>
      </c>
    </row>
    <row r="16" spans="1:7" x14ac:dyDescent="0.25">
      <c r="A16" s="204"/>
      <c r="B16" s="207"/>
      <c r="C16" s="151" t="s">
        <v>5</v>
      </c>
      <c r="D16" s="186">
        <v>4</v>
      </c>
      <c r="E16" s="153" t="e">
        <f>VLOOKUP($B$6,HFC!$A:$CI,12,0)</f>
        <v>#N/A</v>
      </c>
      <c r="F16" s="154" t="e">
        <f>IF(E16="si",5,IF(E16="no",0,IF(E16="n/a",5)))</f>
        <v>#N/A</v>
      </c>
    </row>
    <row r="17" spans="1:6" x14ac:dyDescent="0.25">
      <c r="A17" s="204"/>
      <c r="B17" s="207"/>
      <c r="C17" s="151" t="s">
        <v>6</v>
      </c>
      <c r="D17" s="186">
        <v>2</v>
      </c>
      <c r="E17" s="153" t="e">
        <f>VLOOKUP($B$6,HFC!$A:$CI,13,0)</f>
        <v>#N/A</v>
      </c>
      <c r="F17" s="154" t="e">
        <f>IF(E17="si",3,IF(E17="no",0,IF(E17="n/a",3)))</f>
        <v>#N/A</v>
      </c>
    </row>
    <row r="18" spans="1:6" x14ac:dyDescent="0.25">
      <c r="A18" s="204"/>
      <c r="B18" s="207"/>
      <c r="C18" s="151" t="s">
        <v>7</v>
      </c>
      <c r="D18" s="186">
        <v>2</v>
      </c>
      <c r="E18" s="153" t="e">
        <f>VLOOKUP($B$6,HFC!$A:$CI,14,0)</f>
        <v>#N/A</v>
      </c>
      <c r="F18" s="154" t="e">
        <f>IF(E18="si",3,IF(E18="no",0,IF(E18="n/a",3)))</f>
        <v>#N/A</v>
      </c>
    </row>
    <row r="19" spans="1:6" x14ac:dyDescent="0.25">
      <c r="A19" s="204"/>
      <c r="B19" s="207"/>
      <c r="C19" s="151" t="s">
        <v>8</v>
      </c>
      <c r="D19" s="186">
        <v>4</v>
      </c>
      <c r="E19" s="153" t="e">
        <f>VLOOKUP($B$6,HFC!$A:$CI,15,0)</f>
        <v>#N/A</v>
      </c>
      <c r="F19" s="154" t="e">
        <f>IF(E19="si",5,IF(E19="no",0,IF(E19="n/a",5)))</f>
        <v>#N/A</v>
      </c>
    </row>
    <row r="20" spans="1:6" x14ac:dyDescent="0.25">
      <c r="A20" s="204"/>
      <c r="B20" s="207"/>
      <c r="C20" s="151" t="s">
        <v>9</v>
      </c>
      <c r="D20" s="186">
        <v>2</v>
      </c>
      <c r="E20" s="153" t="e">
        <f>VLOOKUP($B$6,HFC!$A:$CI,16,0)</f>
        <v>#N/A</v>
      </c>
      <c r="F20" s="154" t="e">
        <f>IF(E20="si",3,IF(E20="no",0,IF(E20="n/a",3)))</f>
        <v>#N/A</v>
      </c>
    </row>
    <row r="21" spans="1:6" x14ac:dyDescent="0.25">
      <c r="A21" s="204"/>
      <c r="B21" s="207"/>
      <c r="C21" s="151" t="s">
        <v>10</v>
      </c>
      <c r="D21" s="186">
        <v>3</v>
      </c>
      <c r="E21" s="153" t="e">
        <f>VLOOKUP($B$6,HFC!$A:$CI,17,0)</f>
        <v>#N/A</v>
      </c>
      <c r="F21" s="154" t="e">
        <f>IF(E21="si",5,IF(E21="no",0,IF(E21="n/a",5)))</f>
        <v>#N/A</v>
      </c>
    </row>
    <row r="22" spans="1:6" x14ac:dyDescent="0.25">
      <c r="A22" s="204"/>
      <c r="B22" s="207"/>
      <c r="C22" s="151" t="s">
        <v>11</v>
      </c>
      <c r="D22" s="186">
        <v>2</v>
      </c>
      <c r="E22" s="153" t="e">
        <f>VLOOKUP($B$6,HFC!$A:$CI,18,0)</f>
        <v>#N/A</v>
      </c>
      <c r="F22" s="154" t="e">
        <f>IF(E22="si",3,IF(E22="no",0,IF(E22="n/a",3)))</f>
        <v>#N/A</v>
      </c>
    </row>
    <row r="23" spans="1:6" ht="15.75" thickBot="1" x14ac:dyDescent="0.3">
      <c r="A23" s="205"/>
      <c r="B23" s="208"/>
      <c r="C23" s="155" t="s">
        <v>12</v>
      </c>
      <c r="D23" s="187">
        <v>2</v>
      </c>
      <c r="E23" s="157" t="e">
        <f>VLOOKUP($B$6,HFC!$A:$CI,19,0)</f>
        <v>#N/A</v>
      </c>
      <c r="F23" s="158" t="e">
        <f>IF(E23="si",3,IF(E23="no",0,IF(E23="n/a",3)))</f>
        <v>#N/A</v>
      </c>
    </row>
    <row r="24" spans="1:6" ht="15.75" thickBot="1" x14ac:dyDescent="0.3">
      <c r="A24" s="180"/>
      <c r="B24" s="209"/>
      <c r="C24" s="210"/>
      <c r="D24" s="210"/>
      <c r="E24" s="211"/>
      <c r="F24" s="141"/>
    </row>
    <row r="25" spans="1:6" x14ac:dyDescent="0.25">
      <c r="A25" s="194" t="s">
        <v>167</v>
      </c>
      <c r="B25" s="206">
        <f>SUM(D25:D31)</f>
        <v>25</v>
      </c>
      <c r="C25" s="147" t="s">
        <v>95</v>
      </c>
      <c r="D25" s="185">
        <v>4</v>
      </c>
      <c r="E25" s="149" t="e">
        <f>VLOOKUP($B$6,HFC!$A:$CI,20,0)</f>
        <v>#N/A</v>
      </c>
      <c r="F25" s="150" t="e">
        <f t="shared" ref="F25:F31" si="0">IF(E25="si",5,IF(E25="no",0,IF(E25="n/a",5)))</f>
        <v>#N/A</v>
      </c>
    </row>
    <row r="26" spans="1:6" x14ac:dyDescent="0.25">
      <c r="A26" s="195"/>
      <c r="B26" s="207"/>
      <c r="C26" s="151" t="s">
        <v>14</v>
      </c>
      <c r="D26" s="186">
        <v>4</v>
      </c>
      <c r="E26" s="153" t="e">
        <f>VLOOKUP($B$6,HFC!$A:$CI,21,0)</f>
        <v>#N/A</v>
      </c>
      <c r="F26" s="154" t="e">
        <f t="shared" si="0"/>
        <v>#N/A</v>
      </c>
    </row>
    <row r="27" spans="1:6" x14ac:dyDescent="0.25">
      <c r="A27" s="195"/>
      <c r="B27" s="207"/>
      <c r="C27" s="151" t="s">
        <v>96</v>
      </c>
      <c r="D27" s="186">
        <v>4</v>
      </c>
      <c r="E27" s="153" t="e">
        <f>VLOOKUP($B$6,HFC!$A:$CI,22,0)</f>
        <v>#N/A</v>
      </c>
      <c r="F27" s="154" t="e">
        <f t="shared" si="0"/>
        <v>#N/A</v>
      </c>
    </row>
    <row r="28" spans="1:6" x14ac:dyDescent="0.25">
      <c r="A28" s="195"/>
      <c r="B28" s="207"/>
      <c r="C28" s="151" t="s">
        <v>97</v>
      </c>
      <c r="D28" s="186">
        <v>3</v>
      </c>
      <c r="E28" s="153" t="e">
        <f>VLOOKUP($B$6,HFC!$A:$CI,23,0)</f>
        <v>#N/A</v>
      </c>
      <c r="F28" s="154" t="e">
        <f t="shared" si="0"/>
        <v>#N/A</v>
      </c>
    </row>
    <row r="29" spans="1:6" x14ac:dyDescent="0.25">
      <c r="A29" s="195"/>
      <c r="B29" s="207"/>
      <c r="C29" s="151" t="s">
        <v>98</v>
      </c>
      <c r="D29" s="186">
        <v>3</v>
      </c>
      <c r="E29" s="153" t="e">
        <f>VLOOKUP($B$6,HFC!$A:$CI,24,0)</f>
        <v>#N/A</v>
      </c>
      <c r="F29" s="154" t="e">
        <f t="shared" si="0"/>
        <v>#N/A</v>
      </c>
    </row>
    <row r="30" spans="1:6" x14ac:dyDescent="0.25">
      <c r="A30" s="195"/>
      <c r="B30" s="207"/>
      <c r="C30" s="151" t="s">
        <v>18</v>
      </c>
      <c r="D30" s="186">
        <v>3</v>
      </c>
      <c r="E30" s="153" t="e">
        <f>VLOOKUP($B$6,HFC!$A:$CI,25,0)</f>
        <v>#N/A</v>
      </c>
      <c r="F30" s="154" t="e">
        <f t="shared" si="0"/>
        <v>#N/A</v>
      </c>
    </row>
    <row r="31" spans="1:6" ht="15.75" thickBot="1" x14ac:dyDescent="0.3">
      <c r="A31" s="195"/>
      <c r="B31" s="208"/>
      <c r="C31" s="155" t="s">
        <v>99</v>
      </c>
      <c r="D31" s="187">
        <v>4</v>
      </c>
      <c r="E31" s="157" t="e">
        <f>VLOOKUP($B$6,HFC!$A:$CI,26,0)</f>
        <v>#N/A</v>
      </c>
      <c r="F31" s="158" t="e">
        <f t="shared" si="0"/>
        <v>#N/A</v>
      </c>
    </row>
    <row r="32" spans="1:6" ht="15.75" thickBot="1" x14ac:dyDescent="0.3">
      <c r="D32" s="119"/>
      <c r="F32" s="141"/>
    </row>
    <row r="33" spans="1:10" ht="15.75" thickBot="1" x14ac:dyDescent="0.3">
      <c r="A33" s="191" t="s">
        <v>19</v>
      </c>
      <c r="B33" s="192"/>
      <c r="C33" s="192"/>
      <c r="D33" s="193"/>
      <c r="E33" s="159" t="e">
        <f>VLOOKUP($B$6,HFC!$A:$CI,27,0)</f>
        <v>#N/A</v>
      </c>
      <c r="F33" s="159"/>
    </row>
    <row r="34" spans="1:10" ht="15.75" thickBot="1" x14ac:dyDescent="0.3">
      <c r="A34" s="9" t="s">
        <v>89</v>
      </c>
      <c r="B34" s="10" t="s">
        <v>90</v>
      </c>
      <c r="C34" s="11" t="s">
        <v>91</v>
      </c>
      <c r="D34" s="12" t="s">
        <v>92</v>
      </c>
      <c r="E34" s="9" t="s">
        <v>93</v>
      </c>
      <c r="F34" s="9" t="s">
        <v>111</v>
      </c>
    </row>
    <row r="35" spans="1:10" ht="15" customHeight="1" x14ac:dyDescent="0.25">
      <c r="A35" s="194" t="s">
        <v>101</v>
      </c>
      <c r="B35" s="197">
        <v>0.3</v>
      </c>
      <c r="C35" s="147" t="s">
        <v>102</v>
      </c>
      <c r="D35" s="148">
        <v>0.05</v>
      </c>
      <c r="E35" s="149" t="e">
        <f>VLOOKUP($B$6,HFC!$A:$CI,28,0)</f>
        <v>#N/A</v>
      </c>
      <c r="F35" s="150" t="e">
        <f>IF(E35="si",5,IF(E35="no",0,IF(E35="n/a",5)))</f>
        <v>#N/A</v>
      </c>
      <c r="J35" s="120"/>
    </row>
    <row r="36" spans="1:10" x14ac:dyDescent="0.25">
      <c r="A36" s="195"/>
      <c r="B36" s="198"/>
      <c r="C36" s="151" t="s">
        <v>21</v>
      </c>
      <c r="D36" s="152">
        <v>0.03</v>
      </c>
      <c r="E36" s="153" t="e">
        <f>VLOOKUP($B$6,HFC!$A:$CI,29,0)</f>
        <v>#N/A</v>
      </c>
      <c r="F36" s="154" t="e">
        <f>IF(E36="si",3,IF(E36="no",0,IF(E36="n/a",3)))</f>
        <v>#N/A</v>
      </c>
    </row>
    <row r="37" spans="1:10" x14ac:dyDescent="0.25">
      <c r="A37" s="195"/>
      <c r="B37" s="198"/>
      <c r="C37" s="151" t="s">
        <v>103</v>
      </c>
      <c r="D37" s="152">
        <v>0.01</v>
      </c>
      <c r="E37" s="153" t="e">
        <f>VLOOKUP($B$6,HFC!$A:$CI,30,0)</f>
        <v>#N/A</v>
      </c>
      <c r="F37" s="154" t="e">
        <f t="shared" ref="F37:F42" si="1">IF(E37="si",1,IF(E37="no",0,IF(E37="n/a",1)))</f>
        <v>#N/A</v>
      </c>
    </row>
    <row r="38" spans="1:10" x14ac:dyDescent="0.25">
      <c r="A38" s="195"/>
      <c r="B38" s="198"/>
      <c r="C38" s="151" t="s">
        <v>23</v>
      </c>
      <c r="D38" s="152">
        <v>0.01</v>
      </c>
      <c r="E38" s="153" t="e">
        <f>VLOOKUP($B$6,HFC!$A:$CI,31,0)</f>
        <v>#N/A</v>
      </c>
      <c r="F38" s="154" t="e">
        <f t="shared" si="1"/>
        <v>#N/A</v>
      </c>
    </row>
    <row r="39" spans="1:10" x14ac:dyDescent="0.25">
      <c r="A39" s="195"/>
      <c r="B39" s="198"/>
      <c r="C39" s="151" t="s">
        <v>104</v>
      </c>
      <c r="D39" s="152">
        <v>0.01</v>
      </c>
      <c r="E39" s="153" t="e">
        <f>VLOOKUP($B$6,HFC!$A:$CI,32,0)</f>
        <v>#N/A</v>
      </c>
      <c r="F39" s="154" t="e">
        <f t="shared" si="1"/>
        <v>#N/A</v>
      </c>
    </row>
    <row r="40" spans="1:10" x14ac:dyDescent="0.25">
      <c r="A40" s="195"/>
      <c r="B40" s="198"/>
      <c r="C40" s="151" t="s">
        <v>25</v>
      </c>
      <c r="D40" s="152">
        <v>0.01</v>
      </c>
      <c r="E40" s="153" t="e">
        <f>VLOOKUP($B$6,HFC!$A:$CI,33,0)</f>
        <v>#N/A</v>
      </c>
      <c r="F40" s="154" t="e">
        <f t="shared" si="1"/>
        <v>#N/A</v>
      </c>
    </row>
    <row r="41" spans="1:10" x14ac:dyDescent="0.25">
      <c r="A41" s="195"/>
      <c r="B41" s="198"/>
      <c r="C41" s="151" t="s">
        <v>26</v>
      </c>
      <c r="D41" s="152">
        <v>0.01</v>
      </c>
      <c r="E41" s="153" t="e">
        <f>VLOOKUP($B$6,HFC!$A:$CI,34,0)</f>
        <v>#N/A</v>
      </c>
      <c r="F41" s="154" t="e">
        <f t="shared" si="1"/>
        <v>#N/A</v>
      </c>
    </row>
    <row r="42" spans="1:10" x14ac:dyDescent="0.25">
      <c r="A42" s="195"/>
      <c r="B42" s="198"/>
      <c r="C42" s="151" t="s">
        <v>105</v>
      </c>
      <c r="D42" s="152">
        <v>0.01</v>
      </c>
      <c r="E42" s="153" t="e">
        <f>VLOOKUP($B$6,HFC!$A:$CI,35,0)</f>
        <v>#N/A</v>
      </c>
      <c r="F42" s="154" t="e">
        <f t="shared" si="1"/>
        <v>#N/A</v>
      </c>
    </row>
    <row r="43" spans="1:10" x14ac:dyDescent="0.25">
      <c r="A43" s="195"/>
      <c r="B43" s="198"/>
      <c r="C43" s="151" t="s">
        <v>28</v>
      </c>
      <c r="D43" s="152">
        <v>0.05</v>
      </c>
      <c r="E43" s="153" t="e">
        <f>VLOOKUP($B$6,HFC!$A:$CI,36,0)</f>
        <v>#N/A</v>
      </c>
      <c r="F43" s="154" t="e">
        <f>IF(E43="si",5,IF(E43="no",0,IF(E43="n/a",5)))</f>
        <v>#N/A</v>
      </c>
    </row>
    <row r="44" spans="1:10" x14ac:dyDescent="0.25">
      <c r="A44" s="195"/>
      <c r="B44" s="198"/>
      <c r="C44" s="151" t="s">
        <v>106</v>
      </c>
      <c r="D44" s="152">
        <v>0.03</v>
      </c>
      <c r="E44" s="153" t="e">
        <f>VLOOKUP($B$6,HFC!$A:$CI,37,0)</f>
        <v>#N/A</v>
      </c>
      <c r="F44" s="154" t="e">
        <f>IF(E44="si",3,IF(E44="no",0,IF(E44="n/a",3)))</f>
        <v>#N/A</v>
      </c>
    </row>
    <row r="45" spans="1:10" x14ac:dyDescent="0.25">
      <c r="A45" s="195"/>
      <c r="B45" s="198"/>
      <c r="C45" s="151" t="s">
        <v>107</v>
      </c>
      <c r="D45" s="152">
        <v>0.02</v>
      </c>
      <c r="E45" s="153" t="e">
        <f>VLOOKUP($B$6,HFC!$A:$CI,38,0)</f>
        <v>#N/A</v>
      </c>
      <c r="F45" s="154" t="e">
        <f>IF(E45="si",2,IF(E45="no",0,IF(E45="n/a",2)))</f>
        <v>#N/A</v>
      </c>
    </row>
    <row r="46" spans="1:10" x14ac:dyDescent="0.25">
      <c r="A46" s="195"/>
      <c r="B46" s="198"/>
      <c r="C46" s="151" t="s">
        <v>108</v>
      </c>
      <c r="D46" s="152">
        <v>0.03</v>
      </c>
      <c r="E46" s="153" t="e">
        <f>VLOOKUP($B$6,HFC!$A:$CI,39,0)</f>
        <v>#N/A</v>
      </c>
      <c r="F46" s="154" t="e">
        <f>IF(E46="si",3,IF(E46="no",0,IF(E46="n/a",3)))</f>
        <v>#N/A</v>
      </c>
    </row>
    <row r="47" spans="1:10" ht="15.75" thickBot="1" x14ac:dyDescent="0.3">
      <c r="A47" s="196"/>
      <c r="B47" s="199"/>
      <c r="C47" s="155" t="s">
        <v>109</v>
      </c>
      <c r="D47" s="156">
        <v>0.03</v>
      </c>
      <c r="E47" s="157" t="e">
        <f>VLOOKUP($B$6,HFC!$A:$CI,40,0)</f>
        <v>#N/A</v>
      </c>
      <c r="F47" s="158" t="e">
        <f>IF(E47="si",3,IF(E47="no",0,IF(E47="n/a",3)))</f>
        <v>#N/A</v>
      </c>
    </row>
    <row r="48" spans="1:10" s="135" customFormat="1" ht="13.5" thickBot="1" x14ac:dyDescent="0.3">
      <c r="A48" s="146"/>
      <c r="B48" s="160"/>
      <c r="C48" s="161"/>
      <c r="D48" s="161"/>
      <c r="E48" s="161"/>
    </row>
    <row r="49" spans="1:7" s="135" customFormat="1" ht="12.75" x14ac:dyDescent="0.25">
      <c r="A49" s="162" t="s">
        <v>100</v>
      </c>
      <c r="B49" s="200" t="e">
        <f>VLOOKUP($B$6,HFC!$A:$CI,87,0)</f>
        <v>#N/A</v>
      </c>
      <c r="C49" s="200" t="e">
        <f>VLOOKUP($B$6,HFC!$A:$CI,40,0)</f>
        <v>#N/A</v>
      </c>
      <c r="D49" s="200" t="e">
        <f>VLOOKUP($B$6,HFC!$A:$CI,40,0)</f>
        <v>#N/A</v>
      </c>
      <c r="E49" s="163"/>
    </row>
    <row r="50" spans="1:7" s="135" customFormat="1" ht="13.5" thickBot="1" x14ac:dyDescent="0.3">
      <c r="A50" s="164"/>
      <c r="B50" s="201" t="e">
        <f>VLOOKUP($B$6,HFC!$A:$CI,40,0)</f>
        <v>#N/A</v>
      </c>
      <c r="C50" s="201" t="e">
        <f>VLOOKUP($B$6,HFC!$A:$CI,40,0)</f>
        <v>#N/A</v>
      </c>
      <c r="D50" s="201" t="e">
        <f>VLOOKUP($B$6,HFC!$A:$CI,40,0)</f>
        <v>#N/A</v>
      </c>
      <c r="E50" s="165"/>
    </row>
    <row r="51" spans="1:7" s="135" customFormat="1" ht="16.5" thickBot="1" x14ac:dyDescent="0.3">
      <c r="A51" s="166"/>
      <c r="B51" s="202" t="e">
        <f>VLOOKUP($B$6,HFC!$A:$CI,40,0)</f>
        <v>#N/A</v>
      </c>
      <c r="C51" s="202" t="e">
        <f>VLOOKUP($B$6,HFC!$A:$CI,40,0)</f>
        <v>#N/A</v>
      </c>
      <c r="D51" s="202" t="e">
        <f>VLOOKUP($B$6,HFC!$A:$CI,40,0)</f>
        <v>#N/A</v>
      </c>
      <c r="E51" s="167"/>
      <c r="F51" s="168" t="e">
        <f>IF(E33="NO",SUM(F15:F31)+30,SUM(F15:F31,F35:F47))</f>
        <v>#N/A</v>
      </c>
    </row>
    <row r="52" spans="1:7" s="135" customFormat="1" ht="12.75" x14ac:dyDescent="0.25"/>
    <row r="54" spans="1:7" x14ac:dyDescent="0.25">
      <c r="A54" s="169" t="s">
        <v>163</v>
      </c>
      <c r="B54" s="170" t="s">
        <v>164</v>
      </c>
      <c r="C54" s="171"/>
      <c r="D54" s="172" t="s">
        <v>165</v>
      </c>
      <c r="E54" s="173"/>
      <c r="F54" s="170" t="s">
        <v>158</v>
      </c>
    </row>
    <row r="55" spans="1:7" x14ac:dyDescent="0.25">
      <c r="A55" s="174"/>
      <c r="B55" s="175"/>
      <c r="C55" s="176"/>
      <c r="D55" s="176"/>
      <c r="E55" s="173"/>
      <c r="F55" s="171"/>
      <c r="G55" s="171"/>
    </row>
    <row r="56" spans="1:7" x14ac:dyDescent="0.25">
      <c r="A56" s="177" t="s">
        <v>159</v>
      </c>
      <c r="B56" s="177" t="s">
        <v>166</v>
      </c>
      <c r="C56" s="171"/>
      <c r="D56" s="176" t="s">
        <v>161</v>
      </c>
      <c r="E56" s="173"/>
      <c r="F56" s="177" t="s">
        <v>162</v>
      </c>
    </row>
    <row r="57" spans="1:7" x14ac:dyDescent="0.25">
      <c r="D57" s="188"/>
      <c r="F57" s="189" t="s">
        <v>168</v>
      </c>
    </row>
    <row r="61" spans="1:7" ht="31.5" x14ac:dyDescent="0.25">
      <c r="E61" s="190"/>
      <c r="F61" s="190"/>
    </row>
    <row r="64" spans="1:7" x14ac:dyDescent="0.25">
      <c r="B64" s="171" t="e">
        <f>VLOOKUP($B$6,HFC!$A:$CI,41,0)</f>
        <v>#N/A</v>
      </c>
      <c r="D64" s="178" t="e">
        <f>HYPERLINK(B64,"Abrir Imagen")</f>
        <v>#N/A</v>
      </c>
      <c r="E64" s="179"/>
    </row>
    <row r="68" spans="4:4" x14ac:dyDescent="0.25">
      <c r="D68" s="123"/>
    </row>
    <row r="69" spans="4:4" x14ac:dyDescent="0.25">
      <c r="D69" s="123"/>
    </row>
    <row r="70" spans="4:4" x14ac:dyDescent="0.25">
      <c r="D70" s="123"/>
    </row>
    <row r="71" spans="4:4" x14ac:dyDescent="0.25">
      <c r="D71" s="123"/>
    </row>
    <row r="72" spans="4:4" x14ac:dyDescent="0.25">
      <c r="D72" s="123"/>
    </row>
    <row r="73" spans="4:4" x14ac:dyDescent="0.25">
      <c r="D73" s="123"/>
    </row>
    <row r="74" spans="4:4" x14ac:dyDescent="0.25">
      <c r="D74" s="123"/>
    </row>
    <row r="75" spans="4:4" x14ac:dyDescent="0.25">
      <c r="D75" s="123"/>
    </row>
    <row r="76" spans="4:4" x14ac:dyDescent="0.25">
      <c r="D76" s="123"/>
    </row>
    <row r="77" spans="4:4" x14ac:dyDescent="0.25">
      <c r="D77" s="123"/>
    </row>
    <row r="78" spans="4:4" x14ac:dyDescent="0.25">
      <c r="D78" s="123"/>
    </row>
    <row r="79" spans="4:4" x14ac:dyDescent="0.25">
      <c r="D79" s="123"/>
    </row>
    <row r="80" spans="4:4" x14ac:dyDescent="0.25">
      <c r="D80" s="123"/>
    </row>
    <row r="81" spans="4:4" x14ac:dyDescent="0.25">
      <c r="D81" s="123"/>
    </row>
    <row r="82" spans="4:4" x14ac:dyDescent="0.25">
      <c r="D82" s="123"/>
    </row>
    <row r="83" spans="4:4" x14ac:dyDescent="0.25">
      <c r="D83" s="123"/>
    </row>
    <row r="84" spans="4:4" x14ac:dyDescent="0.25">
      <c r="D84" s="123"/>
    </row>
    <row r="85" spans="4:4" x14ac:dyDescent="0.25">
      <c r="D85" s="123"/>
    </row>
    <row r="86" spans="4:4" x14ac:dyDescent="0.25">
      <c r="D86" s="123"/>
    </row>
    <row r="87" spans="4:4" x14ac:dyDescent="0.25">
      <c r="D87" s="123"/>
    </row>
    <row r="88" spans="4:4" x14ac:dyDescent="0.25">
      <c r="D88" s="123"/>
    </row>
    <row r="89" spans="4:4" x14ac:dyDescent="0.25">
      <c r="D89" s="123"/>
    </row>
    <row r="90" spans="4:4" x14ac:dyDescent="0.25">
      <c r="D90" s="123"/>
    </row>
    <row r="91" spans="4:4" x14ac:dyDescent="0.25">
      <c r="D91" s="123"/>
    </row>
    <row r="92" spans="4:4" x14ac:dyDescent="0.25">
      <c r="D92" s="123"/>
    </row>
    <row r="93" spans="4:4" x14ac:dyDescent="0.25">
      <c r="D93" s="123"/>
    </row>
    <row r="94" spans="4:4" x14ac:dyDescent="0.25">
      <c r="D94" s="123"/>
    </row>
    <row r="95" spans="4:4" x14ac:dyDescent="0.25">
      <c r="D95" s="123"/>
    </row>
    <row r="96" spans="4:4" x14ac:dyDescent="0.25">
      <c r="D96" s="123"/>
    </row>
    <row r="97" spans="4:6" x14ac:dyDescent="0.25">
      <c r="D97" s="123"/>
    </row>
    <row r="98" spans="4:6" x14ac:dyDescent="0.25">
      <c r="D98" s="123"/>
    </row>
    <row r="99" spans="4:6" x14ac:dyDescent="0.25">
      <c r="D99" s="123"/>
    </row>
    <row r="100" spans="4:6" x14ac:dyDescent="0.25">
      <c r="D100" s="123"/>
    </row>
    <row r="101" spans="4:6" x14ac:dyDescent="0.25">
      <c r="D101" s="123"/>
    </row>
    <row r="102" spans="4:6" x14ac:dyDescent="0.25">
      <c r="D102" s="123"/>
    </row>
    <row r="103" spans="4:6" x14ac:dyDescent="0.25">
      <c r="D103" s="123"/>
    </row>
    <row r="109" spans="4:6" ht="31.5" x14ac:dyDescent="0.25">
      <c r="E109" s="190"/>
      <c r="F109" s="190"/>
    </row>
    <row r="113" spans="2:5" x14ac:dyDescent="0.25">
      <c r="B113" s="121" t="e">
        <f>VLOOKUP($B$6,HFC!$A:$CI,42,0)</f>
        <v>#N/A</v>
      </c>
      <c r="E113" s="122" t="e">
        <f>HYPERLINK(B113,"Abrir Imagen")</f>
        <v>#N/A</v>
      </c>
    </row>
    <row r="117" spans="2:5" x14ac:dyDescent="0.25">
      <c r="D117" s="123"/>
    </row>
    <row r="118" spans="2:5" x14ac:dyDescent="0.25">
      <c r="D118" s="123"/>
    </row>
    <row r="119" spans="2:5" x14ac:dyDescent="0.25">
      <c r="D119" s="123"/>
    </row>
    <row r="120" spans="2:5" x14ac:dyDescent="0.25">
      <c r="D120" s="123"/>
    </row>
    <row r="121" spans="2:5" x14ac:dyDescent="0.25">
      <c r="D121" s="123"/>
    </row>
    <row r="122" spans="2:5" x14ac:dyDescent="0.25">
      <c r="D122" s="123"/>
    </row>
    <row r="123" spans="2:5" x14ac:dyDescent="0.25">
      <c r="D123" s="123"/>
    </row>
    <row r="124" spans="2:5" x14ac:dyDescent="0.25">
      <c r="D124" s="123"/>
    </row>
    <row r="125" spans="2:5" x14ac:dyDescent="0.25">
      <c r="D125" s="123"/>
    </row>
    <row r="126" spans="2:5" x14ac:dyDescent="0.25">
      <c r="D126" s="123"/>
    </row>
    <row r="127" spans="2:5" x14ac:dyDescent="0.25">
      <c r="D127" s="123"/>
    </row>
    <row r="128" spans="2:5" x14ac:dyDescent="0.25">
      <c r="D128" s="123"/>
    </row>
    <row r="129" spans="4:4" x14ac:dyDescent="0.25">
      <c r="D129" s="123"/>
    </row>
    <row r="130" spans="4:4" x14ac:dyDescent="0.25">
      <c r="D130" s="123"/>
    </row>
    <row r="131" spans="4:4" x14ac:dyDescent="0.25">
      <c r="D131" s="123"/>
    </row>
    <row r="132" spans="4:4" x14ac:dyDescent="0.25">
      <c r="D132" s="123"/>
    </row>
    <row r="133" spans="4:4" x14ac:dyDescent="0.25">
      <c r="D133" s="123"/>
    </row>
    <row r="134" spans="4:4" x14ac:dyDescent="0.25">
      <c r="D134" s="123"/>
    </row>
    <row r="135" spans="4:4" x14ac:dyDescent="0.25">
      <c r="D135" s="123"/>
    </row>
    <row r="136" spans="4:4" x14ac:dyDescent="0.25">
      <c r="D136" s="123"/>
    </row>
    <row r="137" spans="4:4" x14ac:dyDescent="0.25">
      <c r="D137" s="123"/>
    </row>
    <row r="138" spans="4:4" x14ac:dyDescent="0.25">
      <c r="D138" s="123"/>
    </row>
    <row r="139" spans="4:4" x14ac:dyDescent="0.25">
      <c r="D139" s="123"/>
    </row>
    <row r="140" spans="4:4" x14ac:dyDescent="0.25">
      <c r="D140" s="123"/>
    </row>
    <row r="141" spans="4:4" x14ac:dyDescent="0.25">
      <c r="D141" s="123"/>
    </row>
    <row r="142" spans="4:4" x14ac:dyDescent="0.25">
      <c r="D142" s="123"/>
    </row>
    <row r="143" spans="4:4" x14ac:dyDescent="0.25">
      <c r="D143" s="123"/>
    </row>
    <row r="144" spans="4:4" x14ac:dyDescent="0.25">
      <c r="D144" s="123"/>
    </row>
    <row r="145" spans="4:6" x14ac:dyDescent="0.25">
      <c r="D145" s="123"/>
    </row>
    <row r="146" spans="4:6" x14ac:dyDescent="0.25">
      <c r="D146" s="123"/>
    </row>
    <row r="147" spans="4:6" x14ac:dyDescent="0.25">
      <c r="D147" s="123"/>
    </row>
    <row r="148" spans="4:6" x14ac:dyDescent="0.25">
      <c r="D148" s="123"/>
    </row>
    <row r="149" spans="4:6" x14ac:dyDescent="0.25">
      <c r="D149" s="123"/>
    </row>
    <row r="150" spans="4:6" x14ac:dyDescent="0.25">
      <c r="D150" s="123"/>
    </row>
    <row r="151" spans="4:6" x14ac:dyDescent="0.25">
      <c r="D151" s="123"/>
    </row>
    <row r="160" spans="4:6" ht="31.5" x14ac:dyDescent="0.25">
      <c r="E160" s="190"/>
      <c r="F160" s="190"/>
    </row>
    <row r="163" spans="2:5" x14ac:dyDescent="0.25">
      <c r="B163" s="121" t="e">
        <f>VLOOKUP($B$6,HFC!$A:$CI,76,0)</f>
        <v>#N/A</v>
      </c>
      <c r="E163" s="122" t="e">
        <f>HYPERLINK(B163,"Abrir Imagen")</f>
        <v>#N/A</v>
      </c>
    </row>
    <row r="167" spans="2:5" x14ac:dyDescent="0.25">
      <c r="D167" s="123"/>
    </row>
    <row r="168" spans="2:5" x14ac:dyDescent="0.25">
      <c r="D168" s="123"/>
    </row>
    <row r="169" spans="2:5" x14ac:dyDescent="0.25">
      <c r="D169" s="123"/>
    </row>
    <row r="170" spans="2:5" x14ac:dyDescent="0.25">
      <c r="D170" s="123"/>
    </row>
    <row r="171" spans="2:5" x14ac:dyDescent="0.25">
      <c r="D171" s="123"/>
    </row>
    <row r="172" spans="2:5" x14ac:dyDescent="0.25">
      <c r="D172" s="123"/>
    </row>
    <row r="173" spans="2:5" x14ac:dyDescent="0.25">
      <c r="D173" s="123"/>
    </row>
    <row r="174" spans="2:5" x14ac:dyDescent="0.25">
      <c r="D174" s="123"/>
    </row>
    <row r="175" spans="2:5" x14ac:dyDescent="0.25">
      <c r="D175" s="123"/>
    </row>
    <row r="176" spans="2:5" x14ac:dyDescent="0.25">
      <c r="D176" s="123"/>
    </row>
    <row r="177" spans="4:4" x14ac:dyDescent="0.25">
      <c r="D177" s="123"/>
    </row>
    <row r="178" spans="4:4" x14ac:dyDescent="0.25">
      <c r="D178" s="123"/>
    </row>
    <row r="179" spans="4:4" x14ac:dyDescent="0.25">
      <c r="D179" s="123"/>
    </row>
    <row r="180" spans="4:4" x14ac:dyDescent="0.25">
      <c r="D180" s="123"/>
    </row>
    <row r="181" spans="4:4" x14ac:dyDescent="0.25">
      <c r="D181" s="123"/>
    </row>
    <row r="182" spans="4:4" x14ac:dyDescent="0.25">
      <c r="D182" s="123"/>
    </row>
    <row r="183" spans="4:4" x14ac:dyDescent="0.25">
      <c r="D183" s="123"/>
    </row>
    <row r="184" spans="4:4" x14ac:dyDescent="0.25">
      <c r="D184" s="123"/>
    </row>
    <row r="185" spans="4:4" x14ac:dyDescent="0.25">
      <c r="D185" s="123"/>
    </row>
    <row r="186" spans="4:4" x14ac:dyDescent="0.25">
      <c r="D186" s="123"/>
    </row>
    <row r="187" spans="4:4" x14ac:dyDescent="0.25">
      <c r="D187" s="123"/>
    </row>
    <row r="188" spans="4:4" x14ac:dyDescent="0.25">
      <c r="D188" s="123"/>
    </row>
    <row r="189" spans="4:4" x14ac:dyDescent="0.25">
      <c r="D189" s="123"/>
    </row>
    <row r="190" spans="4:4" x14ac:dyDescent="0.25">
      <c r="D190" s="123"/>
    </row>
    <row r="191" spans="4:4" x14ac:dyDescent="0.25">
      <c r="D191" s="123"/>
    </row>
    <row r="192" spans="4:4" x14ac:dyDescent="0.25">
      <c r="D192" s="123"/>
    </row>
    <row r="193" spans="4:4" x14ac:dyDescent="0.25">
      <c r="D193" s="123"/>
    </row>
    <row r="194" spans="4:4" x14ac:dyDescent="0.25">
      <c r="D194" s="123"/>
    </row>
    <row r="195" spans="4:4" x14ac:dyDescent="0.25">
      <c r="D195" s="123"/>
    </row>
    <row r="196" spans="4:4" x14ac:dyDescent="0.25">
      <c r="D196" s="123"/>
    </row>
    <row r="197" spans="4:4" x14ac:dyDescent="0.25">
      <c r="D197" s="123"/>
    </row>
    <row r="198" spans="4:4" x14ac:dyDescent="0.25">
      <c r="D198" s="123"/>
    </row>
    <row r="199" spans="4:4" x14ac:dyDescent="0.25">
      <c r="D199" s="123"/>
    </row>
    <row r="200" spans="4:4" x14ac:dyDescent="0.25">
      <c r="D200" s="123"/>
    </row>
    <row r="201" spans="4:4" x14ac:dyDescent="0.25">
      <c r="D201" s="123"/>
    </row>
    <row r="202" spans="4:4" x14ac:dyDescent="0.25">
      <c r="D202" s="123"/>
    </row>
    <row r="203" spans="4:4" x14ac:dyDescent="0.25">
      <c r="D203" s="123"/>
    </row>
    <row r="204" spans="4:4" x14ac:dyDescent="0.25">
      <c r="D204" s="123"/>
    </row>
    <row r="205" spans="4:4" x14ac:dyDescent="0.25">
      <c r="D205" s="123"/>
    </row>
    <row r="209" spans="2:6" ht="31.5" customHeight="1" x14ac:dyDescent="0.25">
      <c r="E209" s="124"/>
      <c r="F209" s="124"/>
    </row>
    <row r="212" spans="2:6" x14ac:dyDescent="0.25">
      <c r="B212" s="121" t="e">
        <f>VLOOKUP($B$6,HFC!$A:$CI,78,0)</f>
        <v>#N/A</v>
      </c>
      <c r="E212" s="122" t="e">
        <f>HYPERLINK(B212,"Abrir Imagen")</f>
        <v>#N/A</v>
      </c>
    </row>
    <row r="216" spans="2:6" x14ac:dyDescent="0.25">
      <c r="D216" s="123"/>
    </row>
    <row r="217" spans="2:6" x14ac:dyDescent="0.25">
      <c r="D217" s="123"/>
    </row>
    <row r="218" spans="2:6" x14ac:dyDescent="0.25">
      <c r="D218" s="123"/>
    </row>
    <row r="219" spans="2:6" x14ac:dyDescent="0.25">
      <c r="D219" s="123"/>
    </row>
    <row r="220" spans="2:6" x14ac:dyDescent="0.25">
      <c r="D220" s="123"/>
    </row>
    <row r="221" spans="2:6" x14ac:dyDescent="0.25">
      <c r="D221" s="123"/>
    </row>
    <row r="222" spans="2:6" x14ac:dyDescent="0.25">
      <c r="D222" s="123"/>
    </row>
    <row r="223" spans="2:6" x14ac:dyDescent="0.25">
      <c r="D223" s="123"/>
    </row>
    <row r="224" spans="2:6" x14ac:dyDescent="0.25">
      <c r="D224" s="123"/>
    </row>
    <row r="225" spans="4:4" x14ac:dyDescent="0.25">
      <c r="D225" s="123"/>
    </row>
    <row r="226" spans="4:4" x14ac:dyDescent="0.25">
      <c r="D226" s="123"/>
    </row>
    <row r="227" spans="4:4" x14ac:dyDescent="0.25">
      <c r="D227" s="123"/>
    </row>
    <row r="228" spans="4:4" x14ac:dyDescent="0.25">
      <c r="D228" s="123"/>
    </row>
    <row r="229" spans="4:4" x14ac:dyDescent="0.25">
      <c r="D229" s="123"/>
    </row>
    <row r="230" spans="4:4" x14ac:dyDescent="0.25">
      <c r="D230" s="123"/>
    </row>
    <row r="231" spans="4:4" x14ac:dyDescent="0.25">
      <c r="D231" s="123"/>
    </row>
    <row r="232" spans="4:4" x14ac:dyDescent="0.25">
      <c r="D232" s="123"/>
    </row>
    <row r="233" spans="4:4" x14ac:dyDescent="0.25">
      <c r="D233" s="123"/>
    </row>
    <row r="234" spans="4:4" x14ac:dyDescent="0.25">
      <c r="D234" s="123"/>
    </row>
    <row r="235" spans="4:4" x14ac:dyDescent="0.25">
      <c r="D235" s="123"/>
    </row>
    <row r="236" spans="4:4" x14ac:dyDescent="0.25">
      <c r="D236" s="123"/>
    </row>
    <row r="237" spans="4:4" x14ac:dyDescent="0.25">
      <c r="D237" s="123"/>
    </row>
    <row r="238" spans="4:4" x14ac:dyDescent="0.25">
      <c r="D238" s="123"/>
    </row>
    <row r="239" spans="4:4" x14ac:dyDescent="0.25">
      <c r="D239" s="123"/>
    </row>
    <row r="240" spans="4:4" x14ac:dyDescent="0.25">
      <c r="D240" s="123"/>
    </row>
    <row r="241" spans="4:4" x14ac:dyDescent="0.25">
      <c r="D241" s="123"/>
    </row>
    <row r="242" spans="4:4" x14ac:dyDescent="0.25">
      <c r="D242" s="123"/>
    </row>
    <row r="243" spans="4:4" x14ac:dyDescent="0.25">
      <c r="D243" s="123"/>
    </row>
    <row r="244" spans="4:4" x14ac:dyDescent="0.25">
      <c r="D244" s="123"/>
    </row>
    <row r="245" spans="4:4" x14ac:dyDescent="0.25">
      <c r="D245" s="123"/>
    </row>
    <row r="246" spans="4:4" x14ac:dyDescent="0.25">
      <c r="D246" s="123"/>
    </row>
    <row r="247" spans="4:4" x14ac:dyDescent="0.25">
      <c r="D247" s="123"/>
    </row>
    <row r="248" spans="4:4" x14ac:dyDescent="0.25">
      <c r="D248" s="123"/>
    </row>
    <row r="249" spans="4:4" x14ac:dyDescent="0.25">
      <c r="D249" s="123"/>
    </row>
    <row r="250" spans="4:4" x14ac:dyDescent="0.25">
      <c r="D250" s="123"/>
    </row>
    <row r="251" spans="4:4" x14ac:dyDescent="0.25">
      <c r="D251" s="123"/>
    </row>
    <row r="252" spans="4:4" x14ac:dyDescent="0.25">
      <c r="D252" s="123"/>
    </row>
    <row r="253" spans="4:4" x14ac:dyDescent="0.25">
      <c r="D253" s="123"/>
    </row>
    <row r="254" spans="4:4" x14ac:dyDescent="0.25">
      <c r="D254" s="123"/>
    </row>
  </sheetData>
  <mergeCells count="18">
    <mergeCell ref="E1:F1"/>
    <mergeCell ref="E3:F3"/>
    <mergeCell ref="A9:B9"/>
    <mergeCell ref="E9:F9"/>
    <mergeCell ref="A10:B10"/>
    <mergeCell ref="E10:F10"/>
    <mergeCell ref="A15:A23"/>
    <mergeCell ref="B15:B23"/>
    <mergeCell ref="B24:E24"/>
    <mergeCell ref="A25:A31"/>
    <mergeCell ref="B25:B31"/>
    <mergeCell ref="E160:F160"/>
    <mergeCell ref="A33:D33"/>
    <mergeCell ref="A35:A47"/>
    <mergeCell ref="B35:B47"/>
    <mergeCell ref="B49:D51"/>
    <mergeCell ref="E61:F61"/>
    <mergeCell ref="E109:F109"/>
  </mergeCells>
  <conditionalFormatting sqref="E15:E23 E25:E31 E35:E47">
    <cfRule type="containsText" dxfId="17" priority="6" operator="containsText" text="NO">
      <formula>NOT(ISERROR(SEARCH("NO",E15)))</formula>
    </cfRule>
  </conditionalFormatting>
  <conditionalFormatting sqref="B6">
    <cfRule type="duplicateValues" dxfId="16" priority="3"/>
    <cfRule type="duplicateValues" dxfId="15" priority="4"/>
    <cfRule type="duplicateValues" dxfId="14" priority="5"/>
  </conditionalFormatting>
  <conditionalFormatting sqref="B6">
    <cfRule type="duplicateValues" dxfId="13" priority="1"/>
    <cfRule type="duplicateValues" dxfId="12" priority="2"/>
  </conditionalFormatting>
  <printOptions gridLines="1"/>
  <pageMargins left="0.70866141732283472" right="0.70866141732283472" top="0.74803149606299213" bottom="0.74803149606299213" header="0.31496062992125984" footer="0.31496062992125984"/>
  <pageSetup scale="52" orientation="portrait" r:id="rId1"/>
  <headerFooter>
    <oddFooter>&amp;RF.OLIVA</oddFooter>
  </headerFooter>
  <rowBreaks count="4" manualBreakCount="4">
    <brk id="58" max="6" man="1"/>
    <brk id="106" max="6" man="1"/>
    <brk id="157" max="6" man="1"/>
    <brk id="205" max="6" man="1"/>
  </rowBreaks>
  <drawing r:id="rId2"/>
  <legacyDrawing r:id="rId3"/>
  <controls>
    <mc:AlternateContent xmlns:mc="http://schemas.openxmlformats.org/markup-compatibility/2006">
      <mc:Choice Requires="x14">
        <control shapeId="20483" r:id="rId4" name="CB1">
          <controlPr defaultSize="0" autoLine="0" r:id="rId5">
            <anchor moveWithCells="1">
              <from>
                <xdr:col>4</xdr:col>
                <xdr:colOff>457200</xdr:colOff>
                <xdr:row>4</xdr:row>
                <xdr:rowOff>9525</xdr:rowOff>
              </from>
              <to>
                <xdr:col>5</xdr:col>
                <xdr:colOff>1209675</xdr:colOff>
                <xdr:row>7</xdr:row>
                <xdr:rowOff>0</xdr:rowOff>
              </to>
            </anchor>
          </controlPr>
        </control>
      </mc:Choice>
      <mc:Fallback>
        <control shapeId="20483" r:id="rId4" name="CB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J287"/>
  <sheetViews>
    <sheetView showGridLines="0" view="pageBreakPreview" zoomScale="75" zoomScaleNormal="100" zoomScaleSheetLayoutView="75" workbookViewId="0">
      <selection activeCell="B6" sqref="B6"/>
    </sheetView>
  </sheetViews>
  <sheetFormatPr baseColWidth="10" defaultColWidth="11.42578125" defaultRowHeight="12.75" x14ac:dyDescent="0.2"/>
  <cols>
    <col min="1" max="1" width="28.28515625" style="13" customWidth="1"/>
    <col min="2" max="2" width="27.85546875" style="13" bestFit="1" customWidth="1"/>
    <col min="3" max="3" width="23.28515625" style="13" customWidth="1"/>
    <col min="4" max="4" width="14.5703125" style="13" customWidth="1"/>
    <col min="5" max="16384" width="11.42578125" style="13"/>
  </cols>
  <sheetData>
    <row r="1" spans="1:7" ht="41.25" customHeight="1" x14ac:dyDescent="0.5">
      <c r="F1" s="218"/>
      <c r="G1" s="218"/>
    </row>
    <row r="2" spans="1:7" ht="18.75" x14ac:dyDescent="0.3">
      <c r="B2" s="15" t="s">
        <v>112</v>
      </c>
    </row>
    <row r="3" spans="1:7" x14ac:dyDescent="0.2">
      <c r="A3" s="66" t="s">
        <v>58</v>
      </c>
      <c r="B3" s="84" t="e">
        <f>VLOOKUP($B$6,HFC!$A:$CI,5,0)</f>
        <v>#N/A</v>
      </c>
      <c r="C3" s="3" t="s">
        <v>57</v>
      </c>
      <c r="D3" s="117" t="e">
        <f>VLOOKUP($B$6,HFC!A:CI,2,0)</f>
        <v>#N/A</v>
      </c>
    </row>
    <row r="4" spans="1:7" ht="15" x14ac:dyDescent="0.2">
      <c r="A4" s="66" t="s">
        <v>83</v>
      </c>
      <c r="B4" s="84" t="s">
        <v>137</v>
      </c>
      <c r="C4" s="2"/>
      <c r="D4" s="2"/>
    </row>
    <row r="5" spans="1:7" ht="15" x14ac:dyDescent="0.25">
      <c r="A5" s="4" t="s">
        <v>59</v>
      </c>
      <c r="B5" s="84" t="e">
        <f>VLOOKUP($B$6,HFC!$A:$CI,6,0)</f>
        <v>#N/A</v>
      </c>
      <c r="C5"/>
      <c r="D5"/>
    </row>
    <row r="6" spans="1:7" ht="15" x14ac:dyDescent="0.25">
      <c r="A6" s="4" t="s">
        <v>138</v>
      </c>
      <c r="B6" s="130"/>
      <c r="C6" s="16"/>
      <c r="D6" s="5"/>
    </row>
    <row r="7" spans="1:7" ht="15" x14ac:dyDescent="0.25">
      <c r="A7" s="66" t="s">
        <v>85</v>
      </c>
      <c r="B7" s="84" t="e">
        <f>VLOOKUP($B$6,HFC!$A:$CI,7,0)</f>
        <v>#N/A</v>
      </c>
      <c r="C7"/>
      <c r="D7" s="5"/>
    </row>
    <row r="8" spans="1:7" ht="15" x14ac:dyDescent="0.2">
      <c r="A8" s="66" t="s">
        <v>84</v>
      </c>
      <c r="B8" s="84"/>
      <c r="C8" s="5"/>
      <c r="D8" s="5"/>
    </row>
    <row r="9" spans="1:7" ht="15" x14ac:dyDescent="0.2">
      <c r="A9" s="66" t="s">
        <v>113</v>
      </c>
      <c r="B9" s="105" t="s">
        <v>136</v>
      </c>
      <c r="C9" s="5"/>
    </row>
    <row r="10" spans="1:7" ht="15" x14ac:dyDescent="0.2">
      <c r="A10" s="6"/>
      <c r="B10" s="6"/>
      <c r="C10" s="7"/>
      <c r="D10" s="7"/>
    </row>
    <row r="11" spans="1:7" x14ac:dyDescent="0.2">
      <c r="A11" s="17" t="s">
        <v>86</v>
      </c>
      <c r="B11" s="118" t="e">
        <f>VLOOKUP($B$6,HFC!$A:$CI,8,0)</f>
        <v>#N/A</v>
      </c>
      <c r="C11" s="67" t="s">
        <v>87</v>
      </c>
      <c r="D11" s="8"/>
    </row>
    <row r="12" spans="1:7" x14ac:dyDescent="0.2">
      <c r="A12" s="18" t="s">
        <v>88</v>
      </c>
      <c r="B12" s="118" t="e">
        <f>VLOOKUP($B$6,HFC!$A:$CI,9,0)</f>
        <v>#N/A</v>
      </c>
      <c r="C12" s="67" t="s">
        <v>87</v>
      </c>
      <c r="D12" s="8"/>
    </row>
    <row r="13" spans="1:7" x14ac:dyDescent="0.2">
      <c r="A13" s="19"/>
      <c r="B13" s="20"/>
    </row>
    <row r="14" spans="1:7" x14ac:dyDescent="0.2">
      <c r="A14" s="20"/>
      <c r="B14" s="20"/>
    </row>
    <row r="15" spans="1:7" x14ac:dyDescent="0.2">
      <c r="A15" s="21" t="s">
        <v>114</v>
      </c>
      <c r="B15" s="22" t="s">
        <v>92</v>
      </c>
      <c r="C15" s="42" t="s">
        <v>115</v>
      </c>
      <c r="D15" s="42" t="s">
        <v>111</v>
      </c>
    </row>
    <row r="16" spans="1:7" ht="15" x14ac:dyDescent="0.25">
      <c r="A16" s="24" t="s">
        <v>60</v>
      </c>
      <c r="B16" s="182">
        <v>10</v>
      </c>
      <c r="C16" s="83" t="e">
        <f>VLOOKUP($B$6,HFC!$A:$CI,59,0)</f>
        <v>#N/A</v>
      </c>
      <c r="D16" s="14" t="e">
        <f>IF(C16="si",10,IF(C16="no",0,IF(C16="n/a",10)))</f>
        <v>#N/A</v>
      </c>
    </row>
    <row r="17" spans="1:4" ht="15" x14ac:dyDescent="0.25">
      <c r="A17" s="24" t="s">
        <v>61</v>
      </c>
      <c r="B17" s="182">
        <v>10</v>
      </c>
      <c r="C17" s="83" t="e">
        <f>VLOOKUP($B$6,HFC!$A:$CI,60,0)</f>
        <v>#N/A</v>
      </c>
      <c r="D17" s="14" t="e">
        <f t="shared" ref="D17:D26" si="0">IF(C17="si",10,IF(C17="no",0,IF(C17="n/a",10)))</f>
        <v>#N/A</v>
      </c>
    </row>
    <row r="18" spans="1:4" ht="15" x14ac:dyDescent="0.25">
      <c r="A18" s="24" t="s">
        <v>116</v>
      </c>
      <c r="B18" s="182">
        <v>15</v>
      </c>
      <c r="C18" s="83" t="e">
        <f>VLOOKUP($B$6,HFC!$A:$CI,61,0)</f>
        <v>#N/A</v>
      </c>
      <c r="D18" s="14" t="e">
        <f>IF(C18="si",15,IF(C18="no",0,IF(C18="n/a",15)))</f>
        <v>#N/A</v>
      </c>
    </row>
    <row r="19" spans="1:4" ht="15" x14ac:dyDescent="0.25">
      <c r="A19" s="24" t="s">
        <v>62</v>
      </c>
      <c r="B19" s="182">
        <v>15</v>
      </c>
      <c r="C19" s="83" t="e">
        <f>VLOOKUP($B$6,HFC!$A:$CI,62,0)</f>
        <v>#N/A</v>
      </c>
      <c r="D19" s="14" t="e">
        <f>IF(C19="si",15,IF(C19="no",0,IF(C19="n/a",15)))</f>
        <v>#N/A</v>
      </c>
    </row>
    <row r="20" spans="1:4" ht="15" x14ac:dyDescent="0.25">
      <c r="A20" s="24" t="s">
        <v>63</v>
      </c>
      <c r="B20" s="182">
        <v>5</v>
      </c>
      <c r="C20" s="83" t="e">
        <f>VLOOKUP($B$6,HFC!$A:$CI,63,0)</f>
        <v>#N/A</v>
      </c>
      <c r="D20" s="14" t="e">
        <f>IF(C20="si",5,IF(C20="no",0,IF(C20="n/a",5)))</f>
        <v>#N/A</v>
      </c>
    </row>
    <row r="21" spans="1:4" ht="15" x14ac:dyDescent="0.25">
      <c r="A21" s="25" t="s">
        <v>64</v>
      </c>
      <c r="B21" s="182">
        <v>10</v>
      </c>
      <c r="C21" s="83" t="e">
        <f>VLOOKUP($B$6,HFC!$A:$CI,64,0)</f>
        <v>#N/A</v>
      </c>
      <c r="D21" s="14" t="e">
        <f t="shared" si="0"/>
        <v>#N/A</v>
      </c>
    </row>
    <row r="22" spans="1:4" ht="15" x14ac:dyDescent="0.25">
      <c r="A22" s="26" t="s">
        <v>65</v>
      </c>
      <c r="B22" s="182">
        <v>5</v>
      </c>
      <c r="C22" s="83" t="e">
        <f>VLOOKUP($B$6,HFC!$A:$CI,65,0)</f>
        <v>#N/A</v>
      </c>
      <c r="D22" s="14" t="e">
        <f>IF(C22="si",5,IF(C22="no",0,IF(C22="n/a",5)))</f>
        <v>#N/A</v>
      </c>
    </row>
    <row r="23" spans="1:4" ht="15" x14ac:dyDescent="0.25">
      <c r="A23" s="26" t="s">
        <v>66</v>
      </c>
      <c r="B23" s="182">
        <v>10</v>
      </c>
      <c r="C23" s="83" t="e">
        <f>VLOOKUP($B$6,HFC!$A:$CI,66,0)</f>
        <v>#N/A</v>
      </c>
      <c r="D23" s="14" t="e">
        <f t="shared" si="0"/>
        <v>#N/A</v>
      </c>
    </row>
    <row r="24" spans="1:4" ht="15" x14ac:dyDescent="0.25">
      <c r="A24" s="26" t="s">
        <v>67</v>
      </c>
      <c r="B24" s="182">
        <v>5</v>
      </c>
      <c r="C24" s="83" t="e">
        <f>VLOOKUP($B$6,HFC!$A:$CI,67,0)</f>
        <v>#N/A</v>
      </c>
      <c r="D24" s="14" t="e">
        <f>IF(C24="si",5,IF(C24="no",0,IF(C24="n/a",5)))</f>
        <v>#N/A</v>
      </c>
    </row>
    <row r="25" spans="1:4" ht="15" x14ac:dyDescent="0.25">
      <c r="A25" s="27" t="s">
        <v>68</v>
      </c>
      <c r="B25" s="182">
        <v>5</v>
      </c>
      <c r="C25" s="83" t="e">
        <f>VLOOKUP($B$6,HFC!$A:$CI,68,0)</f>
        <v>#N/A</v>
      </c>
      <c r="D25" s="14" t="e">
        <f>IF(C25="si",5,IF(C25="no",0,IF(C25="n/a",5)))</f>
        <v>#N/A</v>
      </c>
    </row>
    <row r="26" spans="1:4" ht="15.75" thickBot="1" x14ac:dyDescent="0.3">
      <c r="A26" s="24" t="s">
        <v>69</v>
      </c>
      <c r="B26" s="182">
        <v>10</v>
      </c>
      <c r="C26" s="83" t="e">
        <f>VLOOKUP($B$6,HFC!$A:$CI,69,0)</f>
        <v>#N/A</v>
      </c>
      <c r="D26" s="62" t="e">
        <f t="shared" si="0"/>
        <v>#N/A</v>
      </c>
    </row>
    <row r="27" spans="1:4" ht="16.5" thickBot="1" x14ac:dyDescent="0.25">
      <c r="A27" s="28" t="s">
        <v>42</v>
      </c>
      <c r="B27" s="183">
        <f>SUM(B16:B26)</f>
        <v>100</v>
      </c>
      <c r="D27" s="63" t="e">
        <f>SUM(D16:D26)</f>
        <v>#N/A</v>
      </c>
    </row>
    <row r="28" spans="1:4" x14ac:dyDescent="0.2">
      <c r="A28" s="29"/>
      <c r="B28" s="30"/>
    </row>
    <row r="29" spans="1:4" x14ac:dyDescent="0.2">
      <c r="A29" s="219" t="s">
        <v>118</v>
      </c>
      <c r="B29" s="220"/>
      <c r="C29" s="220"/>
      <c r="D29" s="221"/>
    </row>
    <row r="30" spans="1:4" x14ac:dyDescent="0.2">
      <c r="A30" s="222"/>
      <c r="B30" s="223"/>
      <c r="C30" s="223"/>
      <c r="D30" s="224"/>
    </row>
    <row r="31" spans="1:4" x14ac:dyDescent="0.2">
      <c r="A31" s="225"/>
      <c r="B31" s="226"/>
      <c r="C31" s="226"/>
      <c r="D31" s="227"/>
    </row>
    <row r="32" spans="1:4" x14ac:dyDescent="0.2">
      <c r="A32" s="116"/>
      <c r="B32" s="116"/>
      <c r="C32" s="116"/>
      <c r="D32" s="116"/>
    </row>
    <row r="33" spans="1:10" x14ac:dyDescent="0.2">
      <c r="A33" s="20"/>
      <c r="B33" s="20"/>
    </row>
    <row r="34" spans="1:10" x14ac:dyDescent="0.2">
      <c r="A34" s="31"/>
      <c r="B34" s="31"/>
      <c r="C34" s="32"/>
      <c r="D34" s="32"/>
    </row>
    <row r="35" spans="1:10" x14ac:dyDescent="0.2">
      <c r="A35" s="33" t="s">
        <v>119</v>
      </c>
      <c r="B35" s="34" t="s">
        <v>52</v>
      </c>
    </row>
    <row r="36" spans="1:10" x14ac:dyDescent="0.2">
      <c r="A36" s="20"/>
      <c r="B36" s="20"/>
    </row>
    <row r="37" spans="1:10" x14ac:dyDescent="0.2">
      <c r="A37" s="23" t="s">
        <v>120</v>
      </c>
      <c r="B37" s="22" t="s">
        <v>92</v>
      </c>
      <c r="C37" s="42" t="s">
        <v>115</v>
      </c>
      <c r="D37" s="42" t="s">
        <v>111</v>
      </c>
    </row>
    <row r="38" spans="1:10" ht="15" x14ac:dyDescent="0.25">
      <c r="A38" s="24" t="s">
        <v>70</v>
      </c>
      <c r="B38" s="182">
        <v>20</v>
      </c>
      <c r="C38" s="83" t="e">
        <f>VLOOKUP($B$6,HFC!$A:$CI,70,0)</f>
        <v>#N/A</v>
      </c>
      <c r="D38" s="14" t="e">
        <f>IF(C38="si",20,IF(C38="no",0,IF(C38="n/a",20)))</f>
        <v>#N/A</v>
      </c>
    </row>
    <row r="39" spans="1:10" ht="15" x14ac:dyDescent="0.25">
      <c r="A39" s="24" t="s">
        <v>121</v>
      </c>
      <c r="B39" s="182">
        <v>20</v>
      </c>
      <c r="C39" s="83" t="e">
        <f>VLOOKUP($B$6,HFC!$A:$CI,71,0)</f>
        <v>#N/A</v>
      </c>
      <c r="D39" s="14" t="e">
        <f t="shared" ref="D39:D41" si="1">IF(C39="si",20,IF(C39="no",0,IF(C39="n/a",20)))</f>
        <v>#N/A</v>
      </c>
    </row>
    <row r="40" spans="1:10" ht="15" x14ac:dyDescent="0.25">
      <c r="A40" s="24" t="s">
        <v>72</v>
      </c>
      <c r="B40" s="182">
        <v>20</v>
      </c>
      <c r="C40" s="83" t="e">
        <f>VLOOKUP($B$6,HFC!$A:$CI,72,0)</f>
        <v>#N/A</v>
      </c>
      <c r="D40" s="14" t="e">
        <f t="shared" si="1"/>
        <v>#N/A</v>
      </c>
      <c r="J40" s="104"/>
    </row>
    <row r="41" spans="1:10" ht="15" x14ac:dyDescent="0.25">
      <c r="A41" s="24" t="s">
        <v>122</v>
      </c>
      <c r="B41" s="182">
        <v>20</v>
      </c>
      <c r="C41" s="83" t="e">
        <f>VLOOKUP($B$6,HFC!$A:$CI,73,0)</f>
        <v>#N/A</v>
      </c>
      <c r="D41" s="14" t="e">
        <f t="shared" si="1"/>
        <v>#N/A</v>
      </c>
    </row>
    <row r="42" spans="1:10" ht="15" x14ac:dyDescent="0.25">
      <c r="A42" s="24" t="s">
        <v>74</v>
      </c>
      <c r="B42" s="182">
        <v>5</v>
      </c>
      <c r="C42" s="83" t="e">
        <f>VLOOKUP($B$6,HFC!$A:$CI,74,0)</f>
        <v>#N/A</v>
      </c>
      <c r="D42" s="14" t="e">
        <f>IF(C42="si",5,IF(C42="no",0,IF(C42="n/a",5)))</f>
        <v>#N/A</v>
      </c>
    </row>
    <row r="43" spans="1:10" ht="15.75" thickBot="1" x14ac:dyDescent="0.3">
      <c r="A43" s="24" t="s">
        <v>75</v>
      </c>
      <c r="B43" s="182">
        <v>15</v>
      </c>
      <c r="C43" s="83" t="e">
        <f>VLOOKUP($B$6,HFC!$A:$CI,75,0)</f>
        <v>#N/A</v>
      </c>
      <c r="D43" s="62" t="e">
        <f>IF(C43="si",15,IF(C43="no",0,IF(C43="n/a",15)))</f>
        <v>#N/A</v>
      </c>
    </row>
    <row r="44" spans="1:10" ht="16.5" thickBot="1" x14ac:dyDescent="0.25">
      <c r="A44" s="28" t="s">
        <v>117</v>
      </c>
      <c r="B44" s="183">
        <f>SUM(B38:B43)</f>
        <v>100</v>
      </c>
      <c r="C44" s="35"/>
      <c r="D44" s="63" t="e">
        <f>SUM(D38:D43)</f>
        <v>#N/A</v>
      </c>
    </row>
    <row r="45" spans="1:10" x14ac:dyDescent="0.2">
      <c r="A45" s="29"/>
      <c r="B45" s="30"/>
    </row>
    <row r="46" spans="1:10" x14ac:dyDescent="0.2">
      <c r="A46" s="219" t="s">
        <v>118</v>
      </c>
      <c r="B46" s="220"/>
      <c r="C46" s="220"/>
      <c r="D46" s="221"/>
    </row>
    <row r="47" spans="1:10" x14ac:dyDescent="0.2">
      <c r="A47" s="222"/>
      <c r="B47" s="223"/>
      <c r="C47" s="223"/>
      <c r="D47" s="224"/>
    </row>
    <row r="48" spans="1:10" x14ac:dyDescent="0.2">
      <c r="A48" s="225"/>
      <c r="B48" s="226"/>
      <c r="C48" s="226"/>
      <c r="D48" s="227"/>
    </row>
    <row r="49" spans="1:4" x14ac:dyDescent="0.2">
      <c r="A49" s="116"/>
      <c r="B49" s="116"/>
      <c r="C49" s="116"/>
      <c r="D49" s="116"/>
    </row>
    <row r="50" spans="1:4" x14ac:dyDescent="0.2">
      <c r="A50" s="36"/>
      <c r="B50" s="36"/>
      <c r="C50" s="37"/>
      <c r="D50" s="37"/>
    </row>
    <row r="51" spans="1:4" x14ac:dyDescent="0.2">
      <c r="A51" s="38"/>
      <c r="B51" s="39"/>
      <c r="C51" s="35"/>
      <c r="D51" s="35"/>
    </row>
    <row r="52" spans="1:4" x14ac:dyDescent="0.2">
      <c r="A52" s="33" t="s">
        <v>119</v>
      </c>
      <c r="B52" s="34"/>
      <c r="C52" s="35"/>
      <c r="D52" s="35"/>
    </row>
    <row r="53" spans="1:4" x14ac:dyDescent="0.2">
      <c r="A53" s="38"/>
      <c r="B53" s="39"/>
      <c r="C53" s="35"/>
      <c r="D53" s="35"/>
    </row>
    <row r="54" spans="1:4" ht="15" x14ac:dyDescent="0.25">
      <c r="A54" s="23" t="s">
        <v>123</v>
      </c>
      <c r="B54" s="22" t="s">
        <v>92</v>
      </c>
      <c r="C54" s="23" t="s">
        <v>115</v>
      </c>
      <c r="D54"/>
    </row>
    <row r="55" spans="1:4" ht="15" x14ac:dyDescent="0.25">
      <c r="A55" s="40" t="s">
        <v>124</v>
      </c>
      <c r="B55" s="182">
        <v>15</v>
      </c>
      <c r="C55" s="88"/>
      <c r="D55"/>
    </row>
    <row r="56" spans="1:4" ht="15" x14ac:dyDescent="0.25">
      <c r="A56" s="41" t="s">
        <v>125</v>
      </c>
      <c r="B56" s="182">
        <v>15</v>
      </c>
      <c r="C56" s="88"/>
      <c r="D56"/>
    </row>
    <row r="57" spans="1:4" ht="15" x14ac:dyDescent="0.25">
      <c r="A57" s="41" t="s">
        <v>126</v>
      </c>
      <c r="B57" s="182">
        <v>10</v>
      </c>
      <c r="C57" s="88"/>
      <c r="D57"/>
    </row>
    <row r="58" spans="1:4" ht="15" x14ac:dyDescent="0.25">
      <c r="A58" s="41" t="s">
        <v>127</v>
      </c>
      <c r="B58" s="182">
        <v>10</v>
      </c>
      <c r="C58" s="88"/>
      <c r="D58"/>
    </row>
    <row r="59" spans="1:4" ht="15" x14ac:dyDescent="0.25">
      <c r="A59" s="41" t="s">
        <v>128</v>
      </c>
      <c r="B59" s="182">
        <v>10</v>
      </c>
      <c r="C59" s="88"/>
      <c r="D59"/>
    </row>
    <row r="60" spans="1:4" ht="15" x14ac:dyDescent="0.25">
      <c r="A60" s="41" t="s">
        <v>129</v>
      </c>
      <c r="B60" s="182">
        <v>10</v>
      </c>
      <c r="C60" s="88"/>
      <c r="D60"/>
    </row>
    <row r="61" spans="1:4" ht="15" x14ac:dyDescent="0.25">
      <c r="A61" s="41" t="s">
        <v>130</v>
      </c>
      <c r="B61" s="182">
        <v>10</v>
      </c>
      <c r="C61" s="88"/>
      <c r="D61"/>
    </row>
    <row r="62" spans="1:4" ht="15" x14ac:dyDescent="0.25">
      <c r="A62" s="41" t="s">
        <v>131</v>
      </c>
      <c r="B62" s="182">
        <v>10</v>
      </c>
      <c r="C62" s="88"/>
      <c r="D62"/>
    </row>
    <row r="63" spans="1:4" ht="15" x14ac:dyDescent="0.25">
      <c r="A63" s="41" t="s">
        <v>132</v>
      </c>
      <c r="B63" s="182">
        <v>10</v>
      </c>
      <c r="C63" s="89"/>
      <c r="D63"/>
    </row>
    <row r="64" spans="1:4" ht="15" x14ac:dyDescent="0.25">
      <c r="A64" s="41" t="s">
        <v>133</v>
      </c>
      <c r="B64" s="85"/>
      <c r="C64" s="86"/>
      <c r="D64"/>
    </row>
    <row r="65" spans="1:6" x14ac:dyDescent="0.2">
      <c r="A65" s="28" t="s">
        <v>117</v>
      </c>
      <c r="B65" s="183">
        <f>SUM(B55:B63)</f>
        <v>100</v>
      </c>
      <c r="C65" s="90">
        <v>0</v>
      </c>
    </row>
    <row r="66" spans="1:6" x14ac:dyDescent="0.2">
      <c r="A66" s="29"/>
      <c r="B66" s="30"/>
    </row>
    <row r="67" spans="1:6" x14ac:dyDescent="0.2">
      <c r="A67" s="99" t="s">
        <v>118</v>
      </c>
      <c r="B67" s="100"/>
      <c r="C67" s="100"/>
      <c r="D67" s="101"/>
    </row>
    <row r="68" spans="1:6" x14ac:dyDescent="0.2">
      <c r="A68" s="230" t="e">
        <f>VLOOKUP($B$6,HFC!$A:$CI,87,0)</f>
        <v>#N/A</v>
      </c>
      <c r="B68" s="231" t="e">
        <f>VLOOKUP($B$6,HFC!$A:$CI,5,0)</f>
        <v>#N/A</v>
      </c>
      <c r="C68" s="231" t="e">
        <f>VLOOKUP($B$6,HFC!$A:$CI,5,0)</f>
        <v>#N/A</v>
      </c>
      <c r="D68" s="232" t="e">
        <f>VLOOKUP($B$6,HFC!$A:$CI,5,0)</f>
        <v>#N/A</v>
      </c>
    </row>
    <row r="69" spans="1:6" x14ac:dyDescent="0.2">
      <c r="A69" s="233" t="e">
        <f>VLOOKUP($B$6,HFC!$A:$CI,5,0)</f>
        <v>#N/A</v>
      </c>
      <c r="B69" s="234" t="e">
        <f>VLOOKUP($B$6,HFC!$A:$CI,5,0)</f>
        <v>#N/A</v>
      </c>
      <c r="C69" s="234" t="e">
        <f>VLOOKUP($B$6,HFC!$A:$CI,5,0)</f>
        <v>#N/A</v>
      </c>
      <c r="D69" s="235" t="e">
        <f>VLOOKUP($B$6,HFC!$A:$CI,5,0)</f>
        <v>#N/A</v>
      </c>
    </row>
    <row r="70" spans="1:6" x14ac:dyDescent="0.2">
      <c r="A70" s="116"/>
      <c r="B70" s="116"/>
      <c r="C70" s="116"/>
      <c r="D70" s="116"/>
    </row>
    <row r="71" spans="1:6" x14ac:dyDescent="0.2">
      <c r="A71" s="36"/>
      <c r="B71" s="36"/>
      <c r="C71" s="37"/>
      <c r="D71" s="37"/>
    </row>
    <row r="72" spans="1:6" x14ac:dyDescent="0.2">
      <c r="A72" s="116"/>
      <c r="B72" s="116"/>
      <c r="C72" s="116"/>
      <c r="D72" s="116"/>
    </row>
    <row r="73" spans="1:6" x14ac:dyDescent="0.2">
      <c r="A73" s="23" t="s">
        <v>134</v>
      </c>
      <c r="B73" s="22" t="s">
        <v>92</v>
      </c>
      <c r="C73" s="42" t="s">
        <v>115</v>
      </c>
      <c r="D73" s="42" t="s">
        <v>111</v>
      </c>
    </row>
    <row r="74" spans="1:6" ht="15" x14ac:dyDescent="0.25">
      <c r="A74" s="40" t="s">
        <v>135</v>
      </c>
      <c r="B74" s="87">
        <v>100</v>
      </c>
      <c r="C74" s="91" t="s">
        <v>52</v>
      </c>
      <c r="D74" s="14">
        <f>IF(C74="si",100,IF(C74="no",0,IF(C74="n/a",0)))</f>
        <v>100</v>
      </c>
    </row>
    <row r="75" spans="1:6" x14ac:dyDescent="0.2">
      <c r="A75" s="116"/>
      <c r="B75" s="116"/>
      <c r="C75" s="116"/>
      <c r="D75" s="116"/>
    </row>
    <row r="76" spans="1:6" x14ac:dyDescent="0.2">
      <c r="A76" s="219" t="s">
        <v>118</v>
      </c>
      <c r="B76" s="220"/>
      <c r="C76" s="220"/>
      <c r="D76" s="221"/>
    </row>
    <row r="77" spans="1:6" x14ac:dyDescent="0.2">
      <c r="A77" s="222"/>
      <c r="B77" s="223"/>
      <c r="C77" s="223"/>
      <c r="D77" s="224"/>
    </row>
    <row r="78" spans="1:6" x14ac:dyDescent="0.2">
      <c r="A78" s="225"/>
      <c r="B78" s="226"/>
      <c r="C78" s="226"/>
      <c r="D78" s="227"/>
    </row>
    <row r="80" spans="1:6" ht="15" x14ac:dyDescent="0.25">
      <c r="A80" s="107" t="s">
        <v>110</v>
      </c>
      <c r="B80" s="108" t="s">
        <v>156</v>
      </c>
      <c r="C80"/>
      <c r="E80" s="109" t="s">
        <v>157</v>
      </c>
      <c r="F80" s="108" t="s">
        <v>158</v>
      </c>
    </row>
    <row r="81" spans="1:7" ht="15" x14ac:dyDescent="0.25">
      <c r="A81" s="110"/>
      <c r="B81" s="111"/>
      <c r="C81" s="112"/>
      <c r="D81" s="112"/>
      <c r="F81"/>
      <c r="G81"/>
    </row>
    <row r="82" spans="1:7" x14ac:dyDescent="0.2">
      <c r="A82" s="113" t="s">
        <v>159</v>
      </c>
      <c r="B82" s="113" t="s">
        <v>160</v>
      </c>
      <c r="C82" s="125"/>
      <c r="D82" s="126" t="s">
        <v>161</v>
      </c>
      <c r="F82" s="113" t="s">
        <v>162</v>
      </c>
    </row>
    <row r="85" spans="1:7" ht="31.5" x14ac:dyDescent="0.2">
      <c r="F85" s="236"/>
      <c r="G85" s="236"/>
    </row>
    <row r="89" spans="1:7" ht="15" x14ac:dyDescent="0.2">
      <c r="B89" s="4" t="e">
        <f>VLOOKUP($B$6,HFC!$A:$CI,41,0)</f>
        <v>#N/A</v>
      </c>
      <c r="F89" s="115" t="e">
        <f>HYPERLINK(B89,"Abrir Imagen")</f>
        <v>#N/A</v>
      </c>
    </row>
    <row r="139" spans="6:7" ht="31.5" x14ac:dyDescent="0.5">
      <c r="F139" s="228"/>
      <c r="G139" s="228"/>
    </row>
    <row r="145" spans="2:6" ht="15" x14ac:dyDescent="0.2">
      <c r="B145" s="13" t="e">
        <f>VLOOKUP($B$6,HFC!$A:$CI,42,0)</f>
        <v>#N/A</v>
      </c>
      <c r="F145" s="115" t="e">
        <f>HYPERLINK(B145,"Abrir Imagen")</f>
        <v>#N/A</v>
      </c>
    </row>
    <row r="191" spans="4:4" s="74" customFormat="1" ht="15" x14ac:dyDescent="0.25">
      <c r="D191" s="102"/>
    </row>
    <row r="192" spans="4:4" s="74" customFormat="1" ht="15" x14ac:dyDescent="0.25">
      <c r="D192" s="102"/>
    </row>
    <row r="193" spans="2:6" s="74" customFormat="1" ht="31.5" x14ac:dyDescent="0.25">
      <c r="D193" s="102"/>
      <c r="E193" s="229"/>
      <c r="F193" s="229"/>
    </row>
    <row r="194" spans="2:6" s="74" customFormat="1" ht="15" x14ac:dyDescent="0.25">
      <c r="D194" s="102"/>
    </row>
    <row r="195" spans="2:6" s="74" customFormat="1" ht="15" x14ac:dyDescent="0.25">
      <c r="D195" s="102"/>
    </row>
    <row r="196" spans="2:6" s="74" customFormat="1" ht="15" x14ac:dyDescent="0.25">
      <c r="B196" s="114" t="e">
        <f>VLOOKUP($B$6,HFC!$A:$CI,76,0)</f>
        <v>#N/A</v>
      </c>
      <c r="D196" s="102"/>
      <c r="E196" s="115" t="e">
        <f>HYPERLINK(B196,"Abrir Imagen")</f>
        <v>#N/A</v>
      </c>
    </row>
    <row r="197" spans="2:6" s="74" customFormat="1" ht="15" x14ac:dyDescent="0.25">
      <c r="D197" s="102"/>
    </row>
    <row r="198" spans="2:6" s="74" customFormat="1" ht="15" x14ac:dyDescent="0.25">
      <c r="D198" s="102"/>
    </row>
    <row r="199" spans="2:6" s="74" customFormat="1" ht="15" x14ac:dyDescent="0.25">
      <c r="D199" s="102"/>
    </row>
    <row r="200" spans="2:6" s="74" customFormat="1" ht="15" x14ac:dyDescent="0.25">
      <c r="D200" s="103"/>
    </row>
    <row r="201" spans="2:6" s="74" customFormat="1" ht="15" x14ac:dyDescent="0.25">
      <c r="D201" s="103"/>
    </row>
    <row r="202" spans="2:6" s="74" customFormat="1" ht="15" x14ac:dyDescent="0.25">
      <c r="D202" s="103"/>
    </row>
    <row r="203" spans="2:6" s="74" customFormat="1" ht="15" x14ac:dyDescent="0.25">
      <c r="D203" s="103"/>
    </row>
    <row r="204" spans="2:6" s="74" customFormat="1" ht="15" x14ac:dyDescent="0.25">
      <c r="D204" s="103"/>
    </row>
    <row r="205" spans="2:6" s="74" customFormat="1" ht="15" x14ac:dyDescent="0.25">
      <c r="D205" s="103"/>
    </row>
    <row r="206" spans="2:6" s="74" customFormat="1" ht="15" x14ac:dyDescent="0.25">
      <c r="D206" s="103"/>
    </row>
    <row r="207" spans="2:6" s="74" customFormat="1" ht="15" x14ac:dyDescent="0.25">
      <c r="D207" s="103"/>
    </row>
    <row r="208" spans="2:6" s="74" customFormat="1" ht="15" x14ac:dyDescent="0.25">
      <c r="D208" s="103"/>
    </row>
    <row r="209" spans="4:4" s="74" customFormat="1" ht="15" x14ac:dyDescent="0.25">
      <c r="D209" s="103"/>
    </row>
    <row r="210" spans="4:4" s="74" customFormat="1" ht="15" x14ac:dyDescent="0.25">
      <c r="D210" s="103"/>
    </row>
    <row r="211" spans="4:4" s="74" customFormat="1" ht="15" x14ac:dyDescent="0.25">
      <c r="D211" s="103"/>
    </row>
    <row r="212" spans="4:4" s="74" customFormat="1" ht="15" x14ac:dyDescent="0.25">
      <c r="D212" s="103"/>
    </row>
    <row r="213" spans="4:4" s="74" customFormat="1" ht="15" x14ac:dyDescent="0.25">
      <c r="D213" s="103"/>
    </row>
    <row r="214" spans="4:4" s="74" customFormat="1" ht="15" x14ac:dyDescent="0.25">
      <c r="D214" s="103"/>
    </row>
    <row r="215" spans="4:4" s="74" customFormat="1" ht="15" x14ac:dyDescent="0.25">
      <c r="D215" s="103"/>
    </row>
    <row r="216" spans="4:4" s="74" customFormat="1" ht="15" x14ac:dyDescent="0.25">
      <c r="D216" s="103"/>
    </row>
    <row r="217" spans="4:4" s="74" customFormat="1" ht="15" x14ac:dyDescent="0.25">
      <c r="D217" s="103"/>
    </row>
    <row r="218" spans="4:4" s="74" customFormat="1" ht="15" x14ac:dyDescent="0.25">
      <c r="D218" s="103"/>
    </row>
    <row r="219" spans="4:4" s="74" customFormat="1" ht="15" x14ac:dyDescent="0.25">
      <c r="D219" s="103"/>
    </row>
    <row r="220" spans="4:4" s="74" customFormat="1" ht="15" x14ac:dyDescent="0.25">
      <c r="D220" s="103"/>
    </row>
    <row r="221" spans="4:4" s="74" customFormat="1" ht="15" x14ac:dyDescent="0.25">
      <c r="D221" s="103"/>
    </row>
    <row r="222" spans="4:4" s="74" customFormat="1" ht="15" x14ac:dyDescent="0.25">
      <c r="D222" s="103"/>
    </row>
    <row r="223" spans="4:4" s="74" customFormat="1" ht="15" x14ac:dyDescent="0.25">
      <c r="D223" s="103"/>
    </row>
    <row r="224" spans="4:4" s="74" customFormat="1" ht="15" x14ac:dyDescent="0.25">
      <c r="D224" s="103"/>
    </row>
    <row r="225" spans="1:7" s="74" customFormat="1" ht="15" x14ac:dyDescent="0.25">
      <c r="D225" s="103"/>
    </row>
    <row r="226" spans="1:7" s="74" customFormat="1" ht="15" x14ac:dyDescent="0.25">
      <c r="D226" s="103"/>
    </row>
    <row r="227" spans="1:7" s="74" customFormat="1" ht="15" x14ac:dyDescent="0.25">
      <c r="D227" s="103"/>
    </row>
    <row r="228" spans="1:7" s="74" customFormat="1" ht="15" x14ac:dyDescent="0.25">
      <c r="D228" s="103"/>
    </row>
    <row r="229" spans="1:7" s="74" customFormat="1" ht="15" x14ac:dyDescent="0.25">
      <c r="D229" s="103"/>
    </row>
    <row r="230" spans="1:7" s="74" customFormat="1" ht="15" x14ac:dyDescent="0.25">
      <c r="D230" s="103"/>
    </row>
    <row r="231" spans="1:7" s="74" customFormat="1" ht="15" x14ac:dyDescent="0.25">
      <c r="D231" s="103"/>
    </row>
    <row r="232" spans="1:7" s="74" customFormat="1" ht="15" x14ac:dyDescent="0.25">
      <c r="D232" s="103"/>
    </row>
    <row r="233" spans="1:7" s="74" customFormat="1" ht="15" x14ac:dyDescent="0.25">
      <c r="D233" s="103"/>
    </row>
    <row r="234" spans="1:7" s="74" customFormat="1" ht="15" x14ac:dyDescent="0.25">
      <c r="D234" s="103"/>
    </row>
    <row r="235" spans="1:7" s="74" customFormat="1" ht="15" x14ac:dyDescent="0.25">
      <c r="D235" s="103"/>
    </row>
    <row r="236" spans="1:7" s="74" customFormat="1" ht="15" x14ac:dyDescent="0.25">
      <c r="D236" s="103"/>
    </row>
    <row r="237" spans="1:7" s="74" customFormat="1" ht="15" x14ac:dyDescent="0.25">
      <c r="D237" s="103"/>
    </row>
    <row r="238" spans="1:7" s="74" customFormat="1" ht="15" x14ac:dyDescent="0.25">
      <c r="D238" s="103"/>
    </row>
    <row r="239" spans="1:7" s="74" customFormat="1" ht="15" x14ac:dyDescent="0.25">
      <c r="D239" s="102"/>
    </row>
    <row r="240" spans="1:7" s="74" customFormat="1" ht="15" x14ac:dyDescent="0.25">
      <c r="A240" s="119"/>
      <c r="B240" s="119"/>
      <c r="C240" s="119"/>
      <c r="D240" s="120"/>
      <c r="E240" s="119"/>
      <c r="F240" s="119"/>
      <c r="G240" s="119"/>
    </row>
    <row r="241" spans="1:7" s="74" customFormat="1" ht="15" x14ac:dyDescent="0.25">
      <c r="A241" s="119"/>
      <c r="B241" s="119"/>
      <c r="C241" s="119"/>
      <c r="D241" s="120"/>
      <c r="E241" s="119"/>
      <c r="F241" s="119"/>
      <c r="G241" s="119"/>
    </row>
    <row r="242" spans="1:7" s="74" customFormat="1" ht="31.5" customHeight="1" x14ac:dyDescent="0.25">
      <c r="A242" s="119"/>
      <c r="B242" s="119"/>
      <c r="C242" s="119"/>
      <c r="D242" s="120"/>
      <c r="E242" s="124"/>
      <c r="F242" s="124"/>
    </row>
    <row r="243" spans="1:7" s="74" customFormat="1" ht="15" x14ac:dyDescent="0.25">
      <c r="A243" s="119"/>
      <c r="B243" s="119"/>
      <c r="C243" s="119"/>
      <c r="D243" s="120"/>
      <c r="E243" s="119"/>
      <c r="F243" s="119"/>
    </row>
    <row r="244" spans="1:7" s="74" customFormat="1" ht="15" x14ac:dyDescent="0.25">
      <c r="A244" s="119"/>
      <c r="B244" s="119"/>
      <c r="C244" s="119"/>
      <c r="D244" s="120"/>
      <c r="E244" s="119"/>
      <c r="F244" s="119"/>
    </row>
    <row r="245" spans="1:7" s="74" customFormat="1" ht="15" x14ac:dyDescent="0.25">
      <c r="A245" s="119"/>
      <c r="B245" s="121" t="e">
        <f>VLOOKUP($B$6,HFC!$A:$CI,78,0)</f>
        <v>#N/A</v>
      </c>
      <c r="C245" s="119"/>
      <c r="D245" s="120"/>
      <c r="E245" s="122" t="e">
        <f>HYPERLINK(B245,"Abrir Imagen")</f>
        <v>#N/A</v>
      </c>
      <c r="F245" s="119"/>
      <c r="G245" s="119"/>
    </row>
    <row r="246" spans="1:7" s="74" customFormat="1" ht="15" x14ac:dyDescent="0.25">
      <c r="A246" s="119"/>
      <c r="B246" s="119"/>
      <c r="C246" s="119"/>
      <c r="D246" s="120"/>
      <c r="E246" s="119"/>
      <c r="F246" s="119"/>
      <c r="G246" s="119"/>
    </row>
    <row r="247" spans="1:7" s="74" customFormat="1" ht="15" x14ac:dyDescent="0.25">
      <c r="A247" s="119"/>
      <c r="B247" s="119"/>
      <c r="C247" s="119"/>
      <c r="D247" s="120"/>
      <c r="E247" s="119"/>
      <c r="F247" s="119"/>
      <c r="G247" s="119"/>
    </row>
    <row r="248" spans="1:7" s="74" customFormat="1" ht="15" x14ac:dyDescent="0.25">
      <c r="A248" s="119"/>
      <c r="B248" s="119"/>
      <c r="C248" s="119"/>
      <c r="D248" s="120"/>
      <c r="E248" s="119"/>
      <c r="F248" s="119"/>
      <c r="G248" s="119"/>
    </row>
    <row r="249" spans="1:7" s="74" customFormat="1" ht="15" x14ac:dyDescent="0.25">
      <c r="A249" s="119"/>
      <c r="B249" s="119"/>
      <c r="C249" s="119"/>
      <c r="D249" s="123"/>
      <c r="E249" s="119"/>
      <c r="F249" s="119"/>
      <c r="G249" s="119"/>
    </row>
    <row r="250" spans="1:7" s="74" customFormat="1" ht="15" x14ac:dyDescent="0.25">
      <c r="A250" s="119"/>
      <c r="B250" s="119"/>
      <c r="C250" s="119"/>
      <c r="D250" s="123"/>
      <c r="E250" s="119"/>
      <c r="F250" s="119"/>
      <c r="G250" s="119"/>
    </row>
    <row r="251" spans="1:7" s="74" customFormat="1" ht="15" x14ac:dyDescent="0.25">
      <c r="A251" s="119"/>
      <c r="B251" s="119"/>
      <c r="C251" s="119"/>
      <c r="D251" s="123"/>
      <c r="E251" s="119"/>
      <c r="F251" s="119"/>
      <c r="G251" s="119"/>
    </row>
    <row r="252" spans="1:7" s="74" customFormat="1" ht="15" x14ac:dyDescent="0.25">
      <c r="A252" s="119"/>
      <c r="B252" s="119"/>
      <c r="C252" s="119"/>
      <c r="D252" s="123"/>
      <c r="E252" s="119"/>
      <c r="F252" s="119"/>
      <c r="G252" s="119"/>
    </row>
    <row r="253" spans="1:7" s="74" customFormat="1" ht="15" x14ac:dyDescent="0.25">
      <c r="A253" s="119"/>
      <c r="B253" s="119"/>
      <c r="C253" s="119"/>
      <c r="D253" s="123"/>
      <c r="E253" s="119"/>
      <c r="F253" s="119"/>
      <c r="G253" s="119"/>
    </row>
    <row r="254" spans="1:7" s="74" customFormat="1" ht="15" x14ac:dyDescent="0.25">
      <c r="A254" s="119"/>
      <c r="B254" s="119"/>
      <c r="C254" s="119"/>
      <c r="D254" s="123"/>
      <c r="E254" s="119"/>
      <c r="F254" s="119"/>
      <c r="G254" s="119"/>
    </row>
    <row r="255" spans="1:7" s="74" customFormat="1" ht="15" x14ac:dyDescent="0.25">
      <c r="A255" s="119"/>
      <c r="B255" s="119"/>
      <c r="C255" s="119"/>
      <c r="D255" s="123"/>
      <c r="E255" s="119"/>
      <c r="F255" s="119"/>
      <c r="G255" s="119"/>
    </row>
    <row r="256" spans="1:7" s="74" customFormat="1" ht="15" x14ac:dyDescent="0.25">
      <c r="A256" s="119"/>
      <c r="B256" s="119"/>
      <c r="C256" s="119"/>
      <c r="D256" s="123"/>
      <c r="E256" s="119"/>
      <c r="F256" s="119"/>
      <c r="G256" s="119"/>
    </row>
    <row r="257" spans="1:7" s="74" customFormat="1" ht="15" x14ac:dyDescent="0.25">
      <c r="A257" s="119"/>
      <c r="B257" s="119"/>
      <c r="C257" s="119"/>
      <c r="D257" s="123"/>
      <c r="E257" s="119"/>
      <c r="F257" s="119"/>
      <c r="G257" s="119"/>
    </row>
    <row r="258" spans="1:7" s="74" customFormat="1" ht="15" x14ac:dyDescent="0.25">
      <c r="A258" s="119"/>
      <c r="B258" s="119"/>
      <c r="C258" s="119"/>
      <c r="D258" s="123"/>
      <c r="E258" s="119"/>
      <c r="F258" s="119"/>
      <c r="G258" s="119"/>
    </row>
    <row r="259" spans="1:7" s="74" customFormat="1" ht="15" x14ac:dyDescent="0.25">
      <c r="A259" s="119"/>
      <c r="B259" s="119"/>
      <c r="C259" s="119"/>
      <c r="D259" s="123"/>
      <c r="E259" s="119"/>
      <c r="F259" s="119"/>
      <c r="G259" s="119"/>
    </row>
    <row r="260" spans="1:7" s="74" customFormat="1" ht="15" x14ac:dyDescent="0.25">
      <c r="A260" s="119"/>
      <c r="B260" s="119"/>
      <c r="C260" s="119"/>
      <c r="D260" s="123"/>
      <c r="E260" s="119"/>
      <c r="F260" s="119"/>
      <c r="G260" s="119"/>
    </row>
    <row r="261" spans="1:7" s="74" customFormat="1" ht="15" x14ac:dyDescent="0.25">
      <c r="A261" s="119"/>
      <c r="B261" s="119"/>
      <c r="C261" s="119"/>
      <c r="D261" s="123"/>
      <c r="E261" s="119"/>
      <c r="F261" s="119"/>
      <c r="G261" s="119"/>
    </row>
    <row r="262" spans="1:7" s="74" customFormat="1" ht="15" x14ac:dyDescent="0.25">
      <c r="A262" s="119"/>
      <c r="B262" s="119"/>
      <c r="C262" s="119"/>
      <c r="D262" s="123"/>
      <c r="E262" s="119"/>
      <c r="F262" s="119"/>
      <c r="G262" s="119"/>
    </row>
    <row r="263" spans="1:7" s="74" customFormat="1" ht="15" x14ac:dyDescent="0.25">
      <c r="A263" s="119"/>
      <c r="B263" s="119"/>
      <c r="C263" s="119"/>
      <c r="D263" s="123"/>
      <c r="E263" s="119"/>
      <c r="F263" s="119"/>
      <c r="G263" s="119"/>
    </row>
    <row r="264" spans="1:7" s="74" customFormat="1" ht="15" x14ac:dyDescent="0.25">
      <c r="A264" s="119"/>
      <c r="B264" s="119"/>
      <c r="C264" s="119"/>
      <c r="D264" s="123"/>
      <c r="E264" s="119"/>
      <c r="F264" s="119"/>
      <c r="G264" s="119"/>
    </row>
    <row r="265" spans="1:7" s="74" customFormat="1" ht="15" x14ac:dyDescent="0.25">
      <c r="A265" s="119"/>
      <c r="B265" s="119"/>
      <c r="C265" s="119"/>
      <c r="D265" s="123"/>
      <c r="E265" s="119"/>
      <c r="F265" s="119"/>
      <c r="G265" s="119"/>
    </row>
    <row r="266" spans="1:7" s="74" customFormat="1" ht="15" x14ac:dyDescent="0.25">
      <c r="A266" s="119"/>
      <c r="B266" s="119"/>
      <c r="C266" s="119"/>
      <c r="D266" s="123"/>
      <c r="E266" s="119"/>
      <c r="F266" s="119"/>
      <c r="G266" s="119"/>
    </row>
    <row r="267" spans="1:7" s="74" customFormat="1" ht="15" x14ac:dyDescent="0.25">
      <c r="A267" s="119"/>
      <c r="B267" s="119"/>
      <c r="C267" s="119"/>
      <c r="D267" s="123"/>
      <c r="E267" s="119"/>
      <c r="F267" s="119"/>
      <c r="G267" s="119"/>
    </row>
    <row r="268" spans="1:7" s="74" customFormat="1" ht="15" x14ac:dyDescent="0.25">
      <c r="A268" s="119"/>
      <c r="B268" s="119"/>
      <c r="C268" s="119"/>
      <c r="D268" s="123"/>
      <c r="E268" s="119"/>
      <c r="F268" s="119"/>
      <c r="G268" s="119"/>
    </row>
    <row r="269" spans="1:7" s="74" customFormat="1" ht="15" x14ac:dyDescent="0.25">
      <c r="A269" s="119"/>
      <c r="B269" s="119"/>
      <c r="C269" s="119"/>
      <c r="D269" s="123"/>
      <c r="E269" s="119"/>
      <c r="F269" s="119"/>
      <c r="G269" s="119"/>
    </row>
    <row r="270" spans="1:7" s="74" customFormat="1" ht="15" x14ac:dyDescent="0.25">
      <c r="A270" s="119"/>
      <c r="B270" s="119"/>
      <c r="C270" s="119"/>
      <c r="D270" s="123"/>
      <c r="E270" s="119"/>
      <c r="F270" s="119"/>
      <c r="G270" s="119"/>
    </row>
    <row r="271" spans="1:7" s="74" customFormat="1" ht="15" x14ac:dyDescent="0.25">
      <c r="A271" s="119"/>
      <c r="B271" s="119"/>
      <c r="C271" s="119"/>
      <c r="D271" s="123"/>
      <c r="E271" s="119"/>
      <c r="F271" s="119"/>
      <c r="G271" s="119"/>
    </row>
    <row r="272" spans="1:7" s="74" customFormat="1" ht="15" x14ac:dyDescent="0.25">
      <c r="A272" s="119"/>
      <c r="B272" s="119"/>
      <c r="C272" s="119"/>
      <c r="D272" s="123"/>
      <c r="E272" s="119"/>
      <c r="F272" s="119"/>
      <c r="G272" s="119"/>
    </row>
    <row r="273" spans="1:7" s="74" customFormat="1" ht="15" x14ac:dyDescent="0.25">
      <c r="A273" s="119"/>
      <c r="B273" s="119"/>
      <c r="C273" s="119"/>
      <c r="D273" s="123"/>
      <c r="E273" s="119"/>
      <c r="F273" s="119"/>
      <c r="G273" s="119"/>
    </row>
    <row r="274" spans="1:7" s="74" customFormat="1" ht="15" x14ac:dyDescent="0.25">
      <c r="A274" s="119"/>
      <c r="B274" s="119"/>
      <c r="C274" s="119"/>
      <c r="D274" s="123"/>
      <c r="E274" s="119"/>
      <c r="F274" s="119"/>
      <c r="G274" s="119"/>
    </row>
    <row r="275" spans="1:7" s="74" customFormat="1" ht="15" x14ac:dyDescent="0.25">
      <c r="A275" s="119"/>
      <c r="B275" s="119"/>
      <c r="C275" s="119"/>
      <c r="D275" s="123"/>
      <c r="E275" s="119"/>
      <c r="F275" s="119"/>
      <c r="G275" s="119"/>
    </row>
    <row r="276" spans="1:7" s="74" customFormat="1" ht="15" x14ac:dyDescent="0.25">
      <c r="A276" s="119"/>
      <c r="B276" s="119"/>
      <c r="C276" s="119"/>
      <c r="D276" s="123"/>
      <c r="E276" s="119"/>
      <c r="F276" s="119"/>
      <c r="G276" s="119"/>
    </row>
    <row r="277" spans="1:7" s="74" customFormat="1" ht="15" x14ac:dyDescent="0.25">
      <c r="A277" s="119"/>
      <c r="B277" s="119"/>
      <c r="C277" s="119"/>
      <c r="D277" s="123"/>
      <c r="E277" s="119"/>
      <c r="F277" s="119"/>
      <c r="G277" s="119"/>
    </row>
    <row r="278" spans="1:7" s="74" customFormat="1" ht="15" x14ac:dyDescent="0.25">
      <c r="A278" s="119"/>
      <c r="B278" s="119"/>
      <c r="C278" s="119"/>
      <c r="D278" s="123"/>
      <c r="E278" s="119"/>
      <c r="F278" s="119"/>
      <c r="G278" s="119"/>
    </row>
    <row r="279" spans="1:7" s="74" customFormat="1" ht="15" x14ac:dyDescent="0.25">
      <c r="A279" s="119"/>
      <c r="B279" s="119"/>
      <c r="C279" s="119"/>
      <c r="D279" s="123"/>
      <c r="E279" s="119"/>
      <c r="F279" s="119"/>
      <c r="G279" s="119"/>
    </row>
    <row r="280" spans="1:7" s="74" customFormat="1" ht="15" x14ac:dyDescent="0.25">
      <c r="A280" s="119"/>
      <c r="B280" s="119"/>
      <c r="C280" s="119"/>
      <c r="D280" s="123"/>
      <c r="E280" s="119"/>
      <c r="F280" s="119"/>
      <c r="G280" s="119"/>
    </row>
    <row r="281" spans="1:7" s="74" customFormat="1" ht="15" x14ac:dyDescent="0.25">
      <c r="A281" s="119"/>
      <c r="B281" s="119"/>
      <c r="C281" s="119"/>
      <c r="D281" s="123"/>
      <c r="E281" s="119"/>
      <c r="F281" s="119"/>
      <c r="G281" s="119"/>
    </row>
    <row r="282" spans="1:7" s="74" customFormat="1" ht="15" x14ac:dyDescent="0.25">
      <c r="A282" s="119"/>
      <c r="B282" s="119"/>
      <c r="C282" s="119"/>
      <c r="D282" s="123"/>
      <c r="E282" s="119"/>
      <c r="F282" s="119"/>
      <c r="G282" s="119"/>
    </row>
    <row r="283" spans="1:7" s="74" customFormat="1" ht="15" x14ac:dyDescent="0.25">
      <c r="A283" s="119"/>
      <c r="B283" s="119"/>
      <c r="C283" s="119"/>
      <c r="D283" s="123"/>
      <c r="E283" s="119"/>
      <c r="F283" s="119"/>
      <c r="G283" s="119"/>
    </row>
    <row r="284" spans="1:7" s="74" customFormat="1" ht="15" x14ac:dyDescent="0.25">
      <c r="A284" s="119"/>
      <c r="B284" s="119"/>
      <c r="C284" s="119"/>
      <c r="D284" s="123"/>
      <c r="E284" s="119"/>
      <c r="F284" s="119"/>
      <c r="G284" s="119"/>
    </row>
    <row r="285" spans="1:7" s="74" customFormat="1" ht="15" x14ac:dyDescent="0.25">
      <c r="A285" s="119"/>
      <c r="B285" s="119"/>
      <c r="C285" s="119"/>
      <c r="D285" s="123"/>
      <c r="E285" s="119"/>
      <c r="F285" s="119"/>
      <c r="G285" s="119"/>
    </row>
    <row r="286" spans="1:7" s="74" customFormat="1" ht="15" x14ac:dyDescent="0.25">
      <c r="D286" s="103"/>
    </row>
    <row r="287" spans="1:7" s="74" customFormat="1" ht="15" x14ac:dyDescent="0.25">
      <c r="D287" s="103"/>
    </row>
  </sheetData>
  <mergeCells count="8">
    <mergeCell ref="F1:G1"/>
    <mergeCell ref="A29:D31"/>
    <mergeCell ref="F139:G139"/>
    <mergeCell ref="E193:F193"/>
    <mergeCell ref="A46:D48"/>
    <mergeCell ref="A68:D69"/>
    <mergeCell ref="A76:D78"/>
    <mergeCell ref="F85:G85"/>
  </mergeCells>
  <conditionalFormatting sqref="C16:C26 C38:C43">
    <cfRule type="containsText" dxfId="11" priority="6" operator="containsText" text="NO">
      <formula>NOT(ISERROR(SEARCH("NO",C16)))</formula>
    </cfRule>
  </conditionalFormatting>
  <conditionalFormatting sqref="B6">
    <cfRule type="duplicateValues" dxfId="10" priority="3"/>
    <cfRule type="duplicateValues" dxfId="9" priority="4"/>
    <cfRule type="duplicateValues" dxfId="8" priority="5"/>
  </conditionalFormatting>
  <conditionalFormatting sqref="B6">
    <cfRule type="duplicateValues" dxfId="7" priority="1"/>
    <cfRule type="duplicateValues" dxfId="6" priority="2"/>
  </conditionalFormatting>
  <pageMargins left="0.70866141732283472" right="0.70866141732283472" top="0.74803149606299213" bottom="0.74803149606299213" header="0.31496062992125984" footer="0.31496062992125984"/>
  <pageSetup scale="51" orientation="portrait" r:id="rId1"/>
  <headerFooter>
    <oddFooter>&amp;RF.OLIVA</oddFooter>
  </headerFooter>
  <rowBreaks count="4" manualBreakCount="4">
    <brk id="83" max="7" man="1"/>
    <brk id="136" max="7" man="1"/>
    <brk id="190" max="7" man="1"/>
    <brk id="2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>
    <tabColor rgb="FFFFC000"/>
  </sheetPr>
  <dimension ref="A1:G244"/>
  <sheetViews>
    <sheetView showGridLines="0" view="pageBreakPreview" zoomScale="85" zoomScaleNormal="85" zoomScaleSheetLayoutView="85" workbookViewId="0">
      <selection activeCell="B6" sqref="B6"/>
    </sheetView>
  </sheetViews>
  <sheetFormatPr baseColWidth="10" defaultColWidth="11.42578125" defaultRowHeight="15" x14ac:dyDescent="0.25"/>
  <cols>
    <col min="1" max="1" width="34.7109375" customWidth="1"/>
    <col min="2" max="2" width="23.28515625" customWidth="1"/>
    <col min="3" max="3" width="20.7109375" customWidth="1"/>
    <col min="4" max="4" width="12.5703125" customWidth="1"/>
    <col min="6" max="7" width="8.85546875" customWidth="1"/>
  </cols>
  <sheetData>
    <row r="1" spans="1:7" ht="33.75" customHeight="1" x14ac:dyDescent="0.5">
      <c r="F1" s="218"/>
      <c r="G1" s="218"/>
    </row>
    <row r="2" spans="1:7" ht="17.25" x14ac:dyDescent="0.25">
      <c r="A2" s="1" t="s">
        <v>139</v>
      </c>
    </row>
    <row r="3" spans="1:7" x14ac:dyDescent="0.25">
      <c r="A3" s="66" t="s">
        <v>58</v>
      </c>
      <c r="B3" s="127" t="e">
        <f>VLOOKUP($B$6,HFC!$A:$CI,5,0)</f>
        <v>#N/A</v>
      </c>
      <c r="C3" s="43" t="s">
        <v>140</v>
      </c>
      <c r="D3" s="44" t="e">
        <f>VLOOKUP($B$6,HFC!A:CI,2,0)</f>
        <v>#N/A</v>
      </c>
    </row>
    <row r="4" spans="1:7" x14ac:dyDescent="0.25">
      <c r="A4" s="66" t="s">
        <v>83</v>
      </c>
      <c r="B4" s="127" t="s">
        <v>137</v>
      </c>
      <c r="C4" s="45"/>
      <c r="D4" s="46"/>
    </row>
    <row r="5" spans="1:7" x14ac:dyDescent="0.25">
      <c r="A5" s="4" t="s">
        <v>59</v>
      </c>
      <c r="B5" s="128" t="e">
        <f>VLOOKUP($B$6,HFC!$A:$CI,6,0)</f>
        <v>#N/A</v>
      </c>
      <c r="C5" s="45"/>
    </row>
    <row r="6" spans="1:7" x14ac:dyDescent="0.25">
      <c r="A6" s="4" t="s">
        <v>3</v>
      </c>
      <c r="B6" s="130"/>
      <c r="C6" s="45"/>
    </row>
    <row r="7" spans="1:7" x14ac:dyDescent="0.25">
      <c r="A7" s="66" t="s">
        <v>85</v>
      </c>
      <c r="B7" s="84" t="e">
        <f>VLOOKUP($B$6,HFC!$A:$CI,7,0)</f>
        <v>#N/A</v>
      </c>
      <c r="C7" s="16"/>
    </row>
    <row r="8" spans="1:7" x14ac:dyDescent="0.25">
      <c r="A8" s="66" t="s">
        <v>84</v>
      </c>
      <c r="B8" s="127"/>
      <c r="C8" s="45"/>
    </row>
    <row r="9" spans="1:7" x14ac:dyDescent="0.25">
      <c r="A9" s="47" t="s">
        <v>141</v>
      </c>
      <c r="B9" s="127" t="s">
        <v>136</v>
      </c>
      <c r="C9" s="45"/>
      <c r="D9" s="45"/>
    </row>
    <row r="10" spans="1:7" x14ac:dyDescent="0.25">
      <c r="C10" s="45"/>
      <c r="D10" s="45"/>
    </row>
    <row r="11" spans="1:7" x14ac:dyDescent="0.25">
      <c r="A11" s="43"/>
      <c r="B11" s="6"/>
    </row>
    <row r="12" spans="1:7" x14ac:dyDescent="0.25">
      <c r="A12" s="43" t="s">
        <v>86</v>
      </c>
      <c r="B12" s="129" t="e">
        <f>VLOOKUP($B$6,HFC!$A:$CI,8,0)</f>
        <v>#N/A</v>
      </c>
      <c r="C12" s="48" t="s">
        <v>87</v>
      </c>
      <c r="D12" s="49"/>
    </row>
    <row r="13" spans="1:7" x14ac:dyDescent="0.25">
      <c r="A13" s="50" t="s">
        <v>88</v>
      </c>
      <c r="B13" s="118" t="e">
        <f>VLOOKUP($B$6,HFC!$A:$CI,9,0)</f>
        <v>#N/A</v>
      </c>
      <c r="C13" s="48" t="s">
        <v>87</v>
      </c>
      <c r="D13" s="49"/>
    </row>
    <row r="14" spans="1:7" ht="15.75" thickBot="1" x14ac:dyDescent="0.3"/>
    <row r="15" spans="1:7" ht="20.25" thickBot="1" x14ac:dyDescent="0.35">
      <c r="A15" s="237" t="s">
        <v>136</v>
      </c>
      <c r="B15" s="238"/>
      <c r="C15" s="238"/>
    </row>
    <row r="16" spans="1:7" ht="15.75" thickBot="1" x14ac:dyDescent="0.3">
      <c r="A16" s="51" t="s">
        <v>142</v>
      </c>
      <c r="B16" s="52" t="s">
        <v>90</v>
      </c>
      <c r="C16" s="60" t="s">
        <v>143</v>
      </c>
    </row>
    <row r="17" spans="1:5" x14ac:dyDescent="0.25">
      <c r="A17" s="53" t="s">
        <v>35</v>
      </c>
      <c r="B17" s="77">
        <v>10</v>
      </c>
      <c r="C17" s="78" t="e">
        <f>VLOOKUP($B$6,HFC!$A:$CI,43,0)</f>
        <v>#N/A</v>
      </c>
      <c r="D17" s="14" t="e">
        <f>IF(C17="si",10,IF(C17="no",0,IF(C17="n/a",10)))</f>
        <v>#N/A</v>
      </c>
      <c r="E17" s="59"/>
    </row>
    <row r="18" spans="1:5" x14ac:dyDescent="0.25">
      <c r="A18" s="54" t="s">
        <v>36</v>
      </c>
      <c r="B18" s="79">
        <v>10</v>
      </c>
      <c r="C18" s="80" t="e">
        <f>VLOOKUP($B$6,HFC!$A:$CI,44,0)</f>
        <v>#N/A</v>
      </c>
      <c r="D18" s="14" t="e">
        <f>IF(C18="si",10,IF(C18="no",0,IF(C18="n/a",10)))</f>
        <v>#N/A</v>
      </c>
    </row>
    <row r="19" spans="1:5" x14ac:dyDescent="0.25">
      <c r="A19" s="54" t="s">
        <v>144</v>
      </c>
      <c r="B19" s="79">
        <v>30</v>
      </c>
      <c r="C19" s="80" t="e">
        <f>VLOOKUP($B$6,HFC!$A:$CI,45,0)</f>
        <v>#N/A</v>
      </c>
      <c r="D19" s="14" t="e">
        <f>IF(C19="si",30,IF(C19="no",0,IF(C19="n/a",30)))</f>
        <v>#N/A</v>
      </c>
    </row>
    <row r="20" spans="1:5" x14ac:dyDescent="0.25">
      <c r="A20" s="54" t="s">
        <v>145</v>
      </c>
      <c r="B20" s="79">
        <v>3</v>
      </c>
      <c r="C20" s="80" t="e">
        <f>VLOOKUP($B$6,HFC!$A:$CI,46,0)</f>
        <v>#N/A</v>
      </c>
      <c r="D20" s="14" t="e">
        <f>IF(C20="si",3,IF(C20="no",0,IF(C20="n/a",3)))</f>
        <v>#N/A</v>
      </c>
    </row>
    <row r="21" spans="1:5" x14ac:dyDescent="0.25">
      <c r="A21" s="55" t="s">
        <v>39</v>
      </c>
      <c r="B21" s="79">
        <v>10</v>
      </c>
      <c r="C21" s="80" t="e">
        <f>VLOOKUP($B$6,HFC!$A:$CI,47,0)</f>
        <v>#N/A</v>
      </c>
      <c r="D21" s="14" t="e">
        <f>IF(C21="si",10,IF(C21="no",0,IF(C21="n/a",10)))</f>
        <v>#N/A</v>
      </c>
    </row>
    <row r="22" spans="1:5" x14ac:dyDescent="0.25">
      <c r="A22" s="55" t="s">
        <v>40</v>
      </c>
      <c r="B22" s="79">
        <v>5</v>
      </c>
      <c r="C22" s="80" t="e">
        <f>VLOOKUP($B$6,HFC!$A:$CI,48,0)</f>
        <v>#N/A</v>
      </c>
      <c r="D22" s="14" t="e">
        <f>IF(C22="si",5,IF(C22="no",0,IF(C22="n/a",5)))</f>
        <v>#N/A</v>
      </c>
    </row>
    <row r="23" spans="1:5" x14ac:dyDescent="0.25">
      <c r="A23" s="55" t="s">
        <v>41</v>
      </c>
      <c r="B23" s="79">
        <v>5</v>
      </c>
      <c r="C23" s="80" t="e">
        <f>VLOOKUP($B$6,HFC!$A:$CI,49,0)</f>
        <v>#N/A</v>
      </c>
      <c r="D23" s="14" t="e">
        <f>IF(C23="si",5,IF(C23="no",0,IF(C23="n/a",5)))</f>
        <v>#N/A</v>
      </c>
    </row>
    <row r="24" spans="1:5" x14ac:dyDescent="0.25">
      <c r="A24" s="55" t="s">
        <v>42</v>
      </c>
      <c r="B24" s="79">
        <v>2</v>
      </c>
      <c r="C24" s="80" t="e">
        <f>VLOOKUP($B$6,HFC!$A:$CI,50,0)</f>
        <v>#N/A</v>
      </c>
      <c r="D24" s="14" t="e">
        <f>IF(C24="si",2,IF(C24="no",0,IF(C24="n/a",2)))</f>
        <v>#N/A</v>
      </c>
    </row>
    <row r="25" spans="1:5" x14ac:dyDescent="0.25">
      <c r="A25" s="55" t="s">
        <v>146</v>
      </c>
      <c r="B25" s="79">
        <v>5</v>
      </c>
      <c r="C25" s="80" t="e">
        <f>VLOOKUP($B$6,HFC!$A:$CI,51,0)</f>
        <v>#N/A</v>
      </c>
      <c r="D25" s="14" t="e">
        <f>IF(C25="si",5,IF(C25="no",0,IF(C25="n/a",5)))</f>
        <v>#N/A</v>
      </c>
    </row>
    <row r="26" spans="1:5" x14ac:dyDescent="0.25">
      <c r="A26" s="55" t="s">
        <v>44</v>
      </c>
      <c r="B26" s="79">
        <v>5</v>
      </c>
      <c r="C26" s="80" t="e">
        <f>VLOOKUP($B$6,HFC!$A:$CI,52,0)</f>
        <v>#N/A</v>
      </c>
      <c r="D26" s="14" t="e">
        <f>IF(C26="si",5,IF(C26="no",0,IF(C26="n/a",5)))</f>
        <v>#N/A</v>
      </c>
    </row>
    <row r="27" spans="1:5" x14ac:dyDescent="0.25">
      <c r="A27" s="55" t="s">
        <v>45</v>
      </c>
      <c r="B27" s="79">
        <v>2</v>
      </c>
      <c r="C27" s="80" t="e">
        <f>VLOOKUP($B$6,HFC!$A:$CI,53,0)</f>
        <v>#N/A</v>
      </c>
      <c r="D27" s="14" t="e">
        <f>IF(C27="si",2,IF(C27="no",0,IF(C27="n/a",2)))</f>
        <v>#N/A</v>
      </c>
    </row>
    <row r="28" spans="1:5" x14ac:dyDescent="0.25">
      <c r="A28" s="55" t="s">
        <v>46</v>
      </c>
      <c r="B28" s="79">
        <v>5</v>
      </c>
      <c r="C28" s="80" t="e">
        <f>VLOOKUP($B$6,HFC!$A:$CI,54,0)</f>
        <v>#N/A</v>
      </c>
      <c r="D28" s="14" t="e">
        <f>IF(C28="si",5,IF(C28="no",0,IF(C28="n/a",5)))</f>
        <v>#N/A</v>
      </c>
    </row>
    <row r="29" spans="1:5" x14ac:dyDescent="0.25">
      <c r="A29" s="55" t="s">
        <v>47</v>
      </c>
      <c r="B29" s="79">
        <v>2</v>
      </c>
      <c r="C29" s="80" t="e">
        <f>VLOOKUP($B$6,HFC!$A:$CI,55,0)</f>
        <v>#N/A</v>
      </c>
      <c r="D29" s="14" t="e">
        <f>IF(C29="si",2,IF(C29="no",0,IF(C29="n/a",2)))</f>
        <v>#N/A</v>
      </c>
    </row>
    <row r="30" spans="1:5" x14ac:dyDescent="0.25">
      <c r="A30" s="55" t="s">
        <v>147</v>
      </c>
      <c r="B30" s="79">
        <v>2</v>
      </c>
      <c r="C30" s="80" t="e">
        <f>VLOOKUP($B$6,HFC!$A:$CI,56,0)</f>
        <v>#N/A</v>
      </c>
      <c r="D30" s="14" t="e">
        <f>IF(C30="si",2,IF(C30="no",0,IF(C30="n/a",2)))</f>
        <v>#N/A</v>
      </c>
    </row>
    <row r="31" spans="1:5" x14ac:dyDescent="0.25">
      <c r="A31" s="56" t="s">
        <v>148</v>
      </c>
      <c r="B31" s="79">
        <v>2</v>
      </c>
      <c r="C31" s="80" t="e">
        <f>VLOOKUP($B$6,HFC!$A:$CI,57,0)</f>
        <v>#N/A</v>
      </c>
      <c r="D31" s="14" t="e">
        <f>IF(C31="si",2,IF(C31="no",0,IF(C31="n/a",2)))</f>
        <v>#N/A</v>
      </c>
    </row>
    <row r="32" spans="1:5" ht="15.75" thickBot="1" x14ac:dyDescent="0.3">
      <c r="A32" s="57" t="s">
        <v>149</v>
      </c>
      <c r="B32" s="81">
        <v>2</v>
      </c>
      <c r="C32" s="82" t="e">
        <f>VLOOKUP($B$6,HFC!$A:$CI,58,0)</f>
        <v>#N/A</v>
      </c>
      <c r="D32" s="14" t="e">
        <f>IF(C32="si",2,IF(C32="no",0,IF(C32="n/a",2)))</f>
        <v>#N/A</v>
      </c>
    </row>
    <row r="33" spans="1:7" ht="16.5" thickBot="1" x14ac:dyDescent="0.3">
      <c r="A33" s="58" t="s">
        <v>117</v>
      </c>
      <c r="B33" s="184">
        <v>100</v>
      </c>
      <c r="D33" s="64" t="e">
        <f>SUM(D17:D32)</f>
        <v>#N/A</v>
      </c>
    </row>
    <row r="35" spans="1:7" x14ac:dyDescent="0.25">
      <c r="A35" s="61"/>
      <c r="B35" s="65"/>
    </row>
    <row r="37" spans="1:7" x14ac:dyDescent="0.25">
      <c r="A37" s="107" t="s">
        <v>110</v>
      </c>
      <c r="B37" s="108" t="s">
        <v>156</v>
      </c>
      <c r="D37" s="13"/>
      <c r="E37" s="109" t="s">
        <v>157</v>
      </c>
      <c r="F37" s="108" t="s">
        <v>158</v>
      </c>
      <c r="G37" s="13"/>
    </row>
    <row r="38" spans="1:7" x14ac:dyDescent="0.25">
      <c r="A38" s="110"/>
      <c r="B38" s="111"/>
      <c r="C38" s="112"/>
      <c r="D38" s="112"/>
      <c r="E38" s="13"/>
    </row>
    <row r="39" spans="1:7" x14ac:dyDescent="0.25">
      <c r="A39" s="113" t="s">
        <v>159</v>
      </c>
      <c r="B39" s="113" t="s">
        <v>160</v>
      </c>
      <c r="C39" s="13"/>
      <c r="D39" s="112" t="s">
        <v>161</v>
      </c>
      <c r="E39" s="13"/>
      <c r="F39" s="113" t="s">
        <v>162</v>
      </c>
      <c r="G39" s="13"/>
    </row>
    <row r="40" spans="1:7" x14ac:dyDescent="0.25">
      <c r="A40" s="106"/>
      <c r="B40" s="239"/>
      <c r="C40" s="239"/>
      <c r="D40" s="106"/>
      <c r="E40" s="106"/>
      <c r="F40" s="106"/>
    </row>
    <row r="43" spans="1:7" s="13" customFormat="1" ht="12.75" x14ac:dyDescent="0.2"/>
    <row r="44" spans="1:7" s="13" customFormat="1" ht="31.5" x14ac:dyDescent="0.2">
      <c r="F44" s="236"/>
      <c r="G44" s="236"/>
    </row>
    <row r="45" spans="1:7" s="13" customFormat="1" ht="12.75" x14ac:dyDescent="0.2"/>
    <row r="46" spans="1:7" s="13" customFormat="1" ht="12.75" x14ac:dyDescent="0.2"/>
    <row r="47" spans="1:7" s="13" customFormat="1" ht="12.75" x14ac:dyDescent="0.2"/>
    <row r="48" spans="1:7" s="13" customFormat="1" x14ac:dyDescent="0.2">
      <c r="B48" s="4" t="e">
        <f>VLOOKUP($B$6,HFC!$A:$CI,41,0)</f>
        <v>#N/A</v>
      </c>
      <c r="F48" s="115" t="e">
        <f>HYPERLINK(B48,"Abrir Imagen")</f>
        <v>#N/A</v>
      </c>
    </row>
    <row r="49" s="13" customFormat="1" ht="12.75" x14ac:dyDescent="0.2"/>
    <row r="50" s="13" customFormat="1" ht="12.75" x14ac:dyDescent="0.2"/>
    <row r="51" s="13" customFormat="1" ht="12.75" x14ac:dyDescent="0.2"/>
    <row r="52" s="13" customFormat="1" ht="12.75" x14ac:dyDescent="0.2"/>
    <row r="53" s="13" customFormat="1" ht="12.75" x14ac:dyDescent="0.2"/>
    <row r="54" s="13" customFormat="1" ht="12.75" x14ac:dyDescent="0.2"/>
    <row r="55" s="13" customFormat="1" ht="12.75" x14ac:dyDescent="0.2"/>
    <row r="56" s="13" customFormat="1" ht="12.75" x14ac:dyDescent="0.2"/>
    <row r="57" s="13" customFormat="1" ht="12.75" x14ac:dyDescent="0.2"/>
    <row r="58" s="13" customFormat="1" ht="12.75" x14ac:dyDescent="0.2"/>
    <row r="59" s="13" customFormat="1" ht="12.75" x14ac:dyDescent="0.2"/>
    <row r="60" s="13" customFormat="1" ht="12.75" x14ac:dyDescent="0.2"/>
    <row r="61" s="13" customFormat="1" ht="12.75" x14ac:dyDescent="0.2"/>
    <row r="62" s="13" customFormat="1" ht="12.75" x14ac:dyDescent="0.2"/>
    <row r="63" s="13" customFormat="1" ht="12.75" x14ac:dyDescent="0.2"/>
    <row r="64" s="13" customFormat="1" ht="12.75" x14ac:dyDescent="0.2"/>
    <row r="65" s="13" customFormat="1" ht="12.75" x14ac:dyDescent="0.2"/>
    <row r="66" s="13" customFormat="1" ht="12.75" x14ac:dyDescent="0.2"/>
    <row r="67" s="13" customFormat="1" ht="12.75" x14ac:dyDescent="0.2"/>
    <row r="68" s="13" customFormat="1" ht="12.75" x14ac:dyDescent="0.2"/>
    <row r="69" s="13" customFormat="1" ht="12.75" x14ac:dyDescent="0.2"/>
    <row r="70" s="13" customFormat="1" ht="12.75" x14ac:dyDescent="0.2"/>
    <row r="71" s="13" customFormat="1" ht="12.75" x14ac:dyDescent="0.2"/>
    <row r="72" s="13" customFormat="1" ht="12.75" x14ac:dyDescent="0.2"/>
    <row r="73" s="13" customFormat="1" ht="12.75" x14ac:dyDescent="0.2"/>
    <row r="74" s="13" customFormat="1" ht="12.75" x14ac:dyDescent="0.2"/>
    <row r="75" s="13" customFormat="1" ht="12.75" x14ac:dyDescent="0.2"/>
    <row r="76" s="13" customFormat="1" ht="12.75" x14ac:dyDescent="0.2"/>
    <row r="77" s="13" customFormat="1" ht="12.75" x14ac:dyDescent="0.2"/>
    <row r="78" s="13" customFormat="1" ht="12.75" x14ac:dyDescent="0.2"/>
    <row r="79" s="13" customFormat="1" ht="12.75" x14ac:dyDescent="0.2"/>
    <row r="80" s="13" customFormat="1" ht="12.75" x14ac:dyDescent="0.2"/>
    <row r="81" s="13" customFormat="1" ht="12.75" x14ac:dyDescent="0.2"/>
    <row r="82" s="13" customFormat="1" ht="12.75" x14ac:dyDescent="0.2"/>
    <row r="83" s="13" customFormat="1" ht="12.75" x14ac:dyDescent="0.2"/>
    <row r="84" s="13" customFormat="1" ht="12.75" x14ac:dyDescent="0.2"/>
    <row r="85" s="13" customFormat="1" ht="12.75" x14ac:dyDescent="0.2"/>
    <row r="86" s="13" customFormat="1" ht="12.75" x14ac:dyDescent="0.2"/>
    <row r="87" s="13" customFormat="1" ht="12.75" x14ac:dyDescent="0.2"/>
    <row r="88" s="13" customFormat="1" ht="12.75" x14ac:dyDescent="0.2"/>
    <row r="89" s="13" customFormat="1" ht="12.75" x14ac:dyDescent="0.2"/>
    <row r="90" s="13" customFormat="1" ht="12.75" x14ac:dyDescent="0.2"/>
    <row r="91" s="13" customFormat="1" ht="12.75" x14ac:dyDescent="0.2"/>
    <row r="92" s="13" customFormat="1" ht="12.75" x14ac:dyDescent="0.2"/>
    <row r="93" s="13" customFormat="1" ht="12.75" x14ac:dyDescent="0.2"/>
    <row r="94" s="13" customFormat="1" ht="12.75" x14ac:dyDescent="0.2"/>
    <row r="95" s="13" customFormat="1" ht="12.75" x14ac:dyDescent="0.2"/>
    <row r="96" s="13" customFormat="1" ht="12.75" x14ac:dyDescent="0.2"/>
    <row r="97" spans="2:7" s="13" customFormat="1" ht="12.75" x14ac:dyDescent="0.2"/>
    <row r="98" spans="2:7" s="13" customFormat="1" ht="31.5" x14ac:dyDescent="0.5">
      <c r="F98" s="228"/>
      <c r="G98" s="228"/>
    </row>
    <row r="99" spans="2:7" s="13" customFormat="1" ht="12.75" x14ac:dyDescent="0.2"/>
    <row r="100" spans="2:7" s="13" customFormat="1" ht="12.75" x14ac:dyDescent="0.2"/>
    <row r="101" spans="2:7" s="13" customFormat="1" ht="12.75" x14ac:dyDescent="0.2"/>
    <row r="102" spans="2:7" s="13" customFormat="1" ht="12.75" x14ac:dyDescent="0.2"/>
    <row r="103" spans="2:7" s="13" customFormat="1" ht="12.75" x14ac:dyDescent="0.2"/>
    <row r="104" spans="2:7" s="13" customFormat="1" x14ac:dyDescent="0.2">
      <c r="B104" s="13" t="e">
        <f>VLOOKUP($B$6,HFC!$A:$CI,42,0)</f>
        <v>#N/A</v>
      </c>
      <c r="F104" s="115" t="e">
        <f>HYPERLINK(B104,"Abrir Imagen")</f>
        <v>#N/A</v>
      </c>
    </row>
    <row r="105" spans="2:7" s="13" customFormat="1" ht="12.75" x14ac:dyDescent="0.2"/>
    <row r="106" spans="2:7" s="13" customFormat="1" ht="12.75" x14ac:dyDescent="0.2"/>
    <row r="107" spans="2:7" s="13" customFormat="1" ht="12.75" x14ac:dyDescent="0.2"/>
    <row r="108" spans="2:7" s="13" customFormat="1" ht="12.75" x14ac:dyDescent="0.2"/>
    <row r="109" spans="2:7" s="13" customFormat="1" ht="12.75" x14ac:dyDescent="0.2"/>
    <row r="110" spans="2:7" s="13" customFormat="1" ht="12.75" x14ac:dyDescent="0.2"/>
    <row r="111" spans="2:7" s="13" customFormat="1" ht="12.75" x14ac:dyDescent="0.2"/>
    <row r="112" spans="2:7" s="13" customFormat="1" ht="12.75" x14ac:dyDescent="0.2"/>
    <row r="113" s="13" customFormat="1" ht="12.75" x14ac:dyDescent="0.2"/>
    <row r="114" s="13" customFormat="1" ht="12.75" x14ac:dyDescent="0.2"/>
    <row r="115" s="13" customFormat="1" ht="12.75" x14ac:dyDescent="0.2"/>
    <row r="116" s="13" customFormat="1" ht="12.75" x14ac:dyDescent="0.2"/>
    <row r="117" s="13" customFormat="1" ht="12.75" x14ac:dyDescent="0.2"/>
    <row r="118" s="13" customFormat="1" ht="12.75" x14ac:dyDescent="0.2"/>
    <row r="119" s="13" customFormat="1" ht="12.75" x14ac:dyDescent="0.2"/>
    <row r="120" s="13" customFormat="1" ht="12.75" x14ac:dyDescent="0.2"/>
    <row r="121" s="13" customFormat="1" ht="12.75" x14ac:dyDescent="0.2"/>
    <row r="122" s="13" customFormat="1" ht="12.75" x14ac:dyDescent="0.2"/>
    <row r="123" s="13" customFormat="1" ht="12.75" x14ac:dyDescent="0.2"/>
    <row r="124" s="13" customFormat="1" ht="12.75" x14ac:dyDescent="0.2"/>
    <row r="125" s="13" customFormat="1" ht="12.75" x14ac:dyDescent="0.2"/>
    <row r="126" s="13" customFormat="1" ht="12.75" x14ac:dyDescent="0.2"/>
    <row r="127" s="13" customFormat="1" ht="12.75" x14ac:dyDescent="0.2"/>
    <row r="128" s="13" customFormat="1" ht="12.75" x14ac:dyDescent="0.2"/>
    <row r="129" s="13" customFormat="1" ht="12.75" x14ac:dyDescent="0.2"/>
    <row r="130" s="13" customFormat="1" ht="12.75" x14ac:dyDescent="0.2"/>
    <row r="131" s="13" customFormat="1" ht="12.75" x14ac:dyDescent="0.2"/>
    <row r="132" s="13" customFormat="1" ht="12.75" x14ac:dyDescent="0.2"/>
    <row r="133" s="13" customFormat="1" ht="12.75" x14ac:dyDescent="0.2"/>
    <row r="134" s="13" customFormat="1" ht="12.75" x14ac:dyDescent="0.2"/>
    <row r="135" s="13" customFormat="1" ht="12.75" x14ac:dyDescent="0.2"/>
    <row r="136" s="13" customFormat="1" ht="12.75" x14ac:dyDescent="0.2"/>
    <row r="137" s="13" customFormat="1" ht="12.75" x14ac:dyDescent="0.2"/>
    <row r="138" s="13" customFormat="1" ht="12.75" x14ac:dyDescent="0.2"/>
    <row r="139" s="13" customFormat="1" ht="12.75" x14ac:dyDescent="0.2"/>
    <row r="140" s="13" customFormat="1" ht="12.75" x14ac:dyDescent="0.2"/>
    <row r="141" s="13" customFormat="1" ht="12.75" x14ac:dyDescent="0.2"/>
    <row r="142" s="13" customFormat="1" ht="12.75" x14ac:dyDescent="0.2"/>
    <row r="143" s="13" customFormat="1" ht="12.75" x14ac:dyDescent="0.2"/>
    <row r="144" s="13" customFormat="1" ht="12.75" x14ac:dyDescent="0.2"/>
    <row r="145" spans="2:6" s="13" customFormat="1" ht="12.75" x14ac:dyDescent="0.2"/>
    <row r="146" spans="2:6" s="13" customFormat="1" ht="12.75" x14ac:dyDescent="0.2"/>
    <row r="147" spans="2:6" s="13" customFormat="1" ht="12.75" x14ac:dyDescent="0.2"/>
    <row r="148" spans="2:6" s="13" customFormat="1" ht="12.75" x14ac:dyDescent="0.2"/>
    <row r="149" spans="2:6" s="13" customFormat="1" ht="12.75" x14ac:dyDescent="0.2"/>
    <row r="150" spans="2:6" s="74" customFormat="1" x14ac:dyDescent="0.25">
      <c r="D150" s="102"/>
    </row>
    <row r="151" spans="2:6" s="74" customFormat="1" x14ac:dyDescent="0.25">
      <c r="D151" s="102"/>
    </row>
    <row r="152" spans="2:6" s="74" customFormat="1" ht="31.5" x14ac:dyDescent="0.25">
      <c r="D152" s="102"/>
      <c r="E152" s="229"/>
      <c r="F152" s="229"/>
    </row>
    <row r="153" spans="2:6" s="74" customFormat="1" x14ac:dyDescent="0.25">
      <c r="D153" s="102"/>
    </row>
    <row r="154" spans="2:6" s="74" customFormat="1" x14ac:dyDescent="0.25">
      <c r="D154" s="102"/>
    </row>
    <row r="155" spans="2:6" s="74" customFormat="1" x14ac:dyDescent="0.25">
      <c r="B155" s="114" t="e">
        <f>VLOOKUP($B$6,HFC!$A:$CI,76,0)</f>
        <v>#N/A</v>
      </c>
      <c r="D155" s="102"/>
      <c r="E155" s="115" t="e">
        <f>HYPERLINK(B155,"Abrir Imagen")</f>
        <v>#N/A</v>
      </c>
    </row>
    <row r="156" spans="2:6" s="74" customFormat="1" x14ac:dyDescent="0.25">
      <c r="D156" s="102"/>
    </row>
    <row r="157" spans="2:6" s="74" customFormat="1" x14ac:dyDescent="0.25">
      <c r="D157" s="102"/>
    </row>
    <row r="158" spans="2:6" s="74" customFormat="1" x14ac:dyDescent="0.25">
      <c r="D158" s="102"/>
    </row>
    <row r="159" spans="2:6" s="74" customFormat="1" x14ac:dyDescent="0.25">
      <c r="D159" s="103"/>
    </row>
    <row r="160" spans="2:6" s="74" customFormat="1" x14ac:dyDescent="0.25">
      <c r="D160" s="103"/>
    </row>
    <row r="161" spans="4:4" s="74" customFormat="1" x14ac:dyDescent="0.25">
      <c r="D161" s="103"/>
    </row>
    <row r="162" spans="4:4" s="74" customFormat="1" x14ac:dyDescent="0.25">
      <c r="D162" s="103"/>
    </row>
    <row r="163" spans="4:4" s="74" customFormat="1" x14ac:dyDescent="0.25">
      <c r="D163" s="103"/>
    </row>
    <row r="164" spans="4:4" s="74" customFormat="1" x14ac:dyDescent="0.25">
      <c r="D164" s="103"/>
    </row>
    <row r="165" spans="4:4" s="74" customFormat="1" x14ac:dyDescent="0.25">
      <c r="D165" s="103"/>
    </row>
    <row r="166" spans="4:4" s="74" customFormat="1" x14ac:dyDescent="0.25">
      <c r="D166" s="103"/>
    </row>
    <row r="167" spans="4:4" s="74" customFormat="1" x14ac:dyDescent="0.25">
      <c r="D167" s="103"/>
    </row>
    <row r="168" spans="4:4" s="74" customFormat="1" x14ac:dyDescent="0.25">
      <c r="D168" s="103"/>
    </row>
    <row r="169" spans="4:4" s="74" customFormat="1" x14ac:dyDescent="0.25">
      <c r="D169" s="103"/>
    </row>
    <row r="170" spans="4:4" s="74" customFormat="1" x14ac:dyDescent="0.25">
      <c r="D170" s="103"/>
    </row>
    <row r="171" spans="4:4" s="74" customFormat="1" x14ac:dyDescent="0.25">
      <c r="D171" s="103"/>
    </row>
    <row r="172" spans="4:4" s="74" customFormat="1" x14ac:dyDescent="0.25">
      <c r="D172" s="103"/>
    </row>
    <row r="173" spans="4:4" s="74" customFormat="1" x14ac:dyDescent="0.25">
      <c r="D173" s="103"/>
    </row>
    <row r="174" spans="4:4" s="74" customFormat="1" x14ac:dyDescent="0.25">
      <c r="D174" s="103"/>
    </row>
    <row r="175" spans="4:4" s="74" customFormat="1" x14ac:dyDescent="0.25">
      <c r="D175" s="103"/>
    </row>
    <row r="176" spans="4:4" s="74" customFormat="1" x14ac:dyDescent="0.25">
      <c r="D176" s="103"/>
    </row>
    <row r="177" spans="4:4" s="74" customFormat="1" x14ac:dyDescent="0.25">
      <c r="D177" s="103"/>
    </row>
    <row r="178" spans="4:4" s="74" customFormat="1" x14ac:dyDescent="0.25">
      <c r="D178" s="103"/>
    </row>
    <row r="179" spans="4:4" s="74" customFormat="1" x14ac:dyDescent="0.25">
      <c r="D179" s="103"/>
    </row>
    <row r="180" spans="4:4" s="74" customFormat="1" x14ac:dyDescent="0.25">
      <c r="D180" s="103"/>
    </row>
    <row r="181" spans="4:4" s="74" customFormat="1" x14ac:dyDescent="0.25">
      <c r="D181" s="103"/>
    </row>
    <row r="182" spans="4:4" s="74" customFormat="1" x14ac:dyDescent="0.25">
      <c r="D182" s="103"/>
    </row>
    <row r="183" spans="4:4" s="74" customFormat="1" x14ac:dyDescent="0.25">
      <c r="D183" s="103"/>
    </row>
    <row r="184" spans="4:4" s="74" customFormat="1" x14ac:dyDescent="0.25">
      <c r="D184" s="103"/>
    </row>
    <row r="185" spans="4:4" s="74" customFormat="1" x14ac:dyDescent="0.25">
      <c r="D185" s="103"/>
    </row>
    <row r="186" spans="4:4" s="74" customFormat="1" x14ac:dyDescent="0.25">
      <c r="D186" s="103"/>
    </row>
    <row r="187" spans="4:4" s="74" customFormat="1" x14ac:dyDescent="0.25">
      <c r="D187" s="103"/>
    </row>
    <row r="188" spans="4:4" s="74" customFormat="1" x14ac:dyDescent="0.25">
      <c r="D188" s="103"/>
    </row>
    <row r="189" spans="4:4" s="74" customFormat="1" x14ac:dyDescent="0.25">
      <c r="D189" s="103"/>
    </row>
    <row r="190" spans="4:4" s="74" customFormat="1" x14ac:dyDescent="0.25">
      <c r="D190" s="103"/>
    </row>
    <row r="191" spans="4:4" s="74" customFormat="1" x14ac:dyDescent="0.25">
      <c r="D191" s="103"/>
    </row>
    <row r="192" spans="4:4" s="74" customFormat="1" x14ac:dyDescent="0.25">
      <c r="D192" s="103"/>
    </row>
    <row r="193" spans="1:7" s="74" customFormat="1" x14ac:dyDescent="0.25">
      <c r="D193" s="103"/>
    </row>
    <row r="194" spans="1:7" s="74" customFormat="1" x14ac:dyDescent="0.25">
      <c r="D194" s="103"/>
    </row>
    <row r="195" spans="1:7" s="74" customFormat="1" x14ac:dyDescent="0.25">
      <c r="D195" s="103"/>
    </row>
    <row r="196" spans="1:7" s="74" customFormat="1" x14ac:dyDescent="0.25">
      <c r="D196" s="103"/>
    </row>
    <row r="197" spans="1:7" s="74" customFormat="1" x14ac:dyDescent="0.25">
      <c r="D197" s="103"/>
    </row>
    <row r="198" spans="1:7" s="74" customFormat="1" x14ac:dyDescent="0.25">
      <c r="D198" s="102"/>
    </row>
    <row r="199" spans="1:7" s="74" customFormat="1" x14ac:dyDescent="0.25">
      <c r="A199" s="119"/>
      <c r="B199" s="119"/>
      <c r="C199" s="119"/>
      <c r="D199" s="120"/>
      <c r="E199" s="119"/>
      <c r="F199" s="119"/>
      <c r="G199" s="119"/>
    </row>
    <row r="200" spans="1:7" s="74" customFormat="1" x14ac:dyDescent="0.25">
      <c r="A200" s="119"/>
      <c r="B200" s="119"/>
      <c r="C200" s="119"/>
      <c r="D200" s="120"/>
      <c r="E200" s="119"/>
      <c r="F200" s="119"/>
      <c r="G200" s="119"/>
    </row>
    <row r="201" spans="1:7" s="74" customFormat="1" ht="31.5" customHeight="1" x14ac:dyDescent="0.25">
      <c r="A201" s="119"/>
      <c r="B201" s="119"/>
      <c r="C201" s="119"/>
      <c r="D201" s="120"/>
      <c r="E201" s="124"/>
      <c r="F201" s="124"/>
    </row>
    <row r="202" spans="1:7" s="74" customFormat="1" x14ac:dyDescent="0.25">
      <c r="A202" s="119"/>
      <c r="B202" s="119"/>
      <c r="C202" s="119"/>
      <c r="D202" s="120"/>
      <c r="E202" s="119"/>
      <c r="F202" s="119"/>
    </row>
    <row r="203" spans="1:7" s="74" customFormat="1" x14ac:dyDescent="0.25">
      <c r="A203" s="119"/>
      <c r="B203" s="119"/>
      <c r="C203" s="119"/>
      <c r="D203" s="120"/>
      <c r="E203" s="119"/>
      <c r="F203" s="119"/>
    </row>
    <row r="204" spans="1:7" s="74" customFormat="1" x14ac:dyDescent="0.25">
      <c r="A204" s="119"/>
      <c r="B204" s="121" t="e">
        <f>VLOOKUP($B$6,HFC!$A:$CI,78,0)</f>
        <v>#N/A</v>
      </c>
      <c r="C204" s="119"/>
      <c r="D204" s="120"/>
      <c r="E204" s="122" t="e">
        <f>HYPERLINK(B204,"Abrir Imagen")</f>
        <v>#N/A</v>
      </c>
      <c r="F204" s="119"/>
      <c r="G204" s="119"/>
    </row>
    <row r="205" spans="1:7" s="74" customFormat="1" x14ac:dyDescent="0.25">
      <c r="A205" s="119"/>
      <c r="B205" s="119"/>
      <c r="C205" s="119"/>
      <c r="D205" s="120"/>
      <c r="E205" s="119"/>
      <c r="F205" s="119"/>
      <c r="G205" s="119"/>
    </row>
    <row r="206" spans="1:7" s="74" customFormat="1" x14ac:dyDescent="0.25">
      <c r="A206" s="119"/>
      <c r="B206" s="119"/>
      <c r="C206" s="119"/>
      <c r="D206" s="120"/>
      <c r="E206" s="119"/>
      <c r="F206" s="119"/>
      <c r="G206" s="119"/>
    </row>
    <row r="207" spans="1:7" s="74" customFormat="1" x14ac:dyDescent="0.25">
      <c r="A207" s="119"/>
      <c r="B207" s="119"/>
      <c r="C207" s="119"/>
      <c r="D207" s="120"/>
      <c r="E207" s="119"/>
      <c r="F207" s="119"/>
      <c r="G207" s="119"/>
    </row>
    <row r="208" spans="1:7" s="74" customFormat="1" x14ac:dyDescent="0.25">
      <c r="A208" s="119"/>
      <c r="B208" s="119"/>
      <c r="C208" s="119"/>
      <c r="D208" s="123"/>
      <c r="E208" s="119"/>
      <c r="F208" s="119"/>
      <c r="G208" s="119"/>
    </row>
    <row r="209" spans="1:7" s="74" customFormat="1" x14ac:dyDescent="0.25">
      <c r="A209" s="119"/>
      <c r="B209" s="119"/>
      <c r="C209" s="119"/>
      <c r="D209" s="123"/>
      <c r="E209" s="119"/>
      <c r="F209" s="119"/>
      <c r="G209" s="119"/>
    </row>
    <row r="210" spans="1:7" s="74" customFormat="1" x14ac:dyDescent="0.25">
      <c r="A210" s="119"/>
      <c r="B210" s="119"/>
      <c r="C210" s="119"/>
      <c r="D210" s="123"/>
      <c r="E210" s="119"/>
      <c r="F210" s="119"/>
      <c r="G210" s="119"/>
    </row>
    <row r="211" spans="1:7" s="74" customFormat="1" x14ac:dyDescent="0.25">
      <c r="A211" s="119"/>
      <c r="B211" s="119"/>
      <c r="C211" s="119"/>
      <c r="D211" s="123"/>
      <c r="E211" s="119"/>
      <c r="F211" s="119"/>
      <c r="G211" s="119"/>
    </row>
    <row r="212" spans="1:7" s="74" customFormat="1" x14ac:dyDescent="0.25">
      <c r="A212" s="119"/>
      <c r="B212" s="119"/>
      <c r="C212" s="119"/>
      <c r="D212" s="123"/>
      <c r="E212" s="119"/>
      <c r="F212" s="119"/>
      <c r="G212" s="119"/>
    </row>
    <row r="213" spans="1:7" s="74" customFormat="1" x14ac:dyDescent="0.25">
      <c r="A213" s="119"/>
      <c r="B213" s="119"/>
      <c r="C213" s="119"/>
      <c r="D213" s="123"/>
      <c r="E213" s="119"/>
      <c r="F213" s="119"/>
      <c r="G213" s="119"/>
    </row>
    <row r="214" spans="1:7" s="74" customFormat="1" x14ac:dyDescent="0.25">
      <c r="A214" s="119"/>
      <c r="B214" s="119"/>
      <c r="C214" s="119"/>
      <c r="D214" s="123"/>
      <c r="E214" s="119"/>
      <c r="F214" s="119"/>
      <c r="G214" s="119"/>
    </row>
    <row r="215" spans="1:7" s="74" customFormat="1" x14ac:dyDescent="0.25">
      <c r="A215" s="119"/>
      <c r="B215" s="119"/>
      <c r="C215" s="119"/>
      <c r="D215" s="123"/>
      <c r="E215" s="119"/>
      <c r="F215" s="119"/>
      <c r="G215" s="119"/>
    </row>
    <row r="216" spans="1:7" s="74" customFormat="1" x14ac:dyDescent="0.25">
      <c r="A216" s="119"/>
      <c r="B216" s="119"/>
      <c r="C216" s="119"/>
      <c r="D216" s="123"/>
      <c r="E216" s="119"/>
      <c r="F216" s="119"/>
      <c r="G216" s="119"/>
    </row>
    <row r="217" spans="1:7" s="74" customFormat="1" x14ac:dyDescent="0.25">
      <c r="A217" s="119"/>
      <c r="B217" s="119"/>
      <c r="C217" s="119"/>
      <c r="D217" s="123"/>
      <c r="E217" s="119"/>
      <c r="F217" s="119"/>
      <c r="G217" s="119"/>
    </row>
    <row r="218" spans="1:7" s="74" customFormat="1" x14ac:dyDescent="0.25">
      <c r="A218" s="119"/>
      <c r="B218" s="119"/>
      <c r="C218" s="119"/>
      <c r="D218" s="123"/>
      <c r="E218" s="119"/>
      <c r="F218" s="119"/>
      <c r="G218" s="119"/>
    </row>
    <row r="219" spans="1:7" s="74" customFormat="1" x14ac:dyDescent="0.25">
      <c r="A219" s="119"/>
      <c r="B219" s="119"/>
      <c r="C219" s="119"/>
      <c r="D219" s="123"/>
      <c r="E219" s="119"/>
      <c r="F219" s="119"/>
      <c r="G219" s="119"/>
    </row>
    <row r="220" spans="1:7" s="74" customFormat="1" x14ac:dyDescent="0.25">
      <c r="A220" s="119"/>
      <c r="B220" s="119"/>
      <c r="C220" s="119"/>
      <c r="D220" s="123"/>
      <c r="E220" s="119"/>
      <c r="F220" s="119"/>
      <c r="G220" s="119"/>
    </row>
    <row r="221" spans="1:7" s="74" customFormat="1" x14ac:dyDescent="0.25">
      <c r="A221" s="119"/>
      <c r="B221" s="119"/>
      <c r="C221" s="119"/>
      <c r="D221" s="123"/>
      <c r="E221" s="119"/>
      <c r="F221" s="119"/>
      <c r="G221" s="119"/>
    </row>
    <row r="222" spans="1:7" s="74" customFormat="1" x14ac:dyDescent="0.25">
      <c r="A222" s="119"/>
      <c r="B222" s="119"/>
      <c r="C222" s="119"/>
      <c r="D222" s="123"/>
      <c r="E222" s="119"/>
      <c r="F222" s="119"/>
      <c r="G222" s="119"/>
    </row>
    <row r="223" spans="1:7" s="74" customFormat="1" x14ac:dyDescent="0.25">
      <c r="A223" s="119"/>
      <c r="B223" s="119"/>
      <c r="C223" s="119"/>
      <c r="D223" s="123"/>
      <c r="E223" s="119"/>
      <c r="F223" s="119"/>
      <c r="G223" s="119"/>
    </row>
    <row r="224" spans="1:7" s="74" customFormat="1" x14ac:dyDescent="0.25">
      <c r="A224" s="119"/>
      <c r="B224" s="119"/>
      <c r="C224" s="119"/>
      <c r="D224" s="123"/>
      <c r="E224" s="119"/>
      <c r="F224" s="119"/>
      <c r="G224" s="119"/>
    </row>
    <row r="225" spans="1:7" s="74" customFormat="1" x14ac:dyDescent="0.25">
      <c r="A225" s="119"/>
      <c r="B225" s="119"/>
      <c r="C225" s="119"/>
      <c r="D225" s="123"/>
      <c r="E225" s="119"/>
      <c r="F225" s="119"/>
      <c r="G225" s="119"/>
    </row>
    <row r="226" spans="1:7" s="74" customFormat="1" x14ac:dyDescent="0.25">
      <c r="A226" s="119"/>
      <c r="B226" s="119"/>
      <c r="C226" s="119"/>
      <c r="D226" s="123"/>
      <c r="E226" s="119"/>
      <c r="F226" s="119"/>
      <c r="G226" s="119"/>
    </row>
    <row r="227" spans="1:7" s="74" customFormat="1" x14ac:dyDescent="0.25">
      <c r="A227" s="119"/>
      <c r="B227" s="119"/>
      <c r="C227" s="119"/>
      <c r="D227" s="123"/>
      <c r="E227" s="119"/>
      <c r="F227" s="119"/>
      <c r="G227" s="119"/>
    </row>
    <row r="228" spans="1:7" s="74" customFormat="1" x14ac:dyDescent="0.25">
      <c r="A228" s="119"/>
      <c r="B228" s="119"/>
      <c r="C228" s="119"/>
      <c r="D228" s="123"/>
      <c r="E228" s="119"/>
      <c r="F228" s="119"/>
      <c r="G228" s="119"/>
    </row>
    <row r="229" spans="1:7" s="74" customFormat="1" x14ac:dyDescent="0.25">
      <c r="A229" s="119"/>
      <c r="B229" s="119"/>
      <c r="C229" s="119"/>
      <c r="D229" s="123"/>
      <c r="E229" s="119"/>
      <c r="F229" s="119"/>
      <c r="G229" s="119"/>
    </row>
    <row r="230" spans="1:7" s="74" customFormat="1" x14ac:dyDescent="0.25">
      <c r="A230" s="119"/>
      <c r="B230" s="119"/>
      <c r="C230" s="119"/>
      <c r="D230" s="123"/>
      <c r="E230" s="119"/>
      <c r="F230" s="119"/>
      <c r="G230" s="119"/>
    </row>
    <row r="231" spans="1:7" s="74" customFormat="1" x14ac:dyDescent="0.25">
      <c r="A231" s="119"/>
      <c r="B231" s="119"/>
      <c r="C231" s="119"/>
      <c r="D231" s="123"/>
      <c r="E231" s="119"/>
      <c r="F231" s="119"/>
      <c r="G231" s="119"/>
    </row>
    <row r="232" spans="1:7" s="74" customFormat="1" x14ac:dyDescent="0.25">
      <c r="A232" s="119"/>
      <c r="B232" s="119"/>
      <c r="C232" s="119"/>
      <c r="D232" s="123"/>
      <c r="E232" s="119"/>
      <c r="F232" s="119"/>
      <c r="G232" s="119"/>
    </row>
    <row r="233" spans="1:7" s="74" customFormat="1" x14ac:dyDescent="0.25">
      <c r="A233" s="119"/>
      <c r="B233" s="119"/>
      <c r="C233" s="119"/>
      <c r="D233" s="123"/>
      <c r="E233" s="119"/>
      <c r="F233" s="119"/>
      <c r="G233" s="119"/>
    </row>
    <row r="234" spans="1:7" s="74" customFormat="1" x14ac:dyDescent="0.25">
      <c r="A234" s="119"/>
      <c r="B234" s="119"/>
      <c r="C234" s="119"/>
      <c r="D234" s="123"/>
      <c r="E234" s="119"/>
      <c r="F234" s="119"/>
      <c r="G234" s="119"/>
    </row>
    <row r="235" spans="1:7" s="74" customFormat="1" x14ac:dyDescent="0.25">
      <c r="A235" s="119"/>
      <c r="B235" s="119"/>
      <c r="C235" s="119"/>
      <c r="D235" s="123"/>
      <c r="E235" s="119"/>
      <c r="F235" s="119"/>
      <c r="G235" s="119"/>
    </row>
    <row r="236" spans="1:7" s="74" customFormat="1" x14ac:dyDescent="0.25">
      <c r="A236" s="119"/>
      <c r="B236" s="119"/>
      <c r="C236" s="119"/>
      <c r="D236" s="123"/>
      <c r="E236" s="119"/>
      <c r="F236" s="119"/>
      <c r="G236" s="119"/>
    </row>
    <row r="237" spans="1:7" s="74" customFormat="1" x14ac:dyDescent="0.25">
      <c r="A237" s="119"/>
      <c r="B237" s="119"/>
      <c r="C237" s="119"/>
      <c r="D237" s="123"/>
      <c r="E237" s="119"/>
      <c r="F237" s="119"/>
      <c r="G237" s="119"/>
    </row>
    <row r="238" spans="1:7" s="74" customFormat="1" x14ac:dyDescent="0.25">
      <c r="A238" s="119"/>
      <c r="B238" s="119"/>
      <c r="C238" s="119"/>
      <c r="D238" s="123"/>
      <c r="E238" s="119"/>
      <c r="F238" s="119"/>
      <c r="G238" s="119"/>
    </row>
    <row r="239" spans="1:7" s="74" customFormat="1" x14ac:dyDescent="0.25">
      <c r="A239" s="119"/>
      <c r="B239" s="119"/>
      <c r="C239" s="119"/>
      <c r="D239" s="123"/>
      <c r="E239" s="119"/>
      <c r="F239" s="119"/>
      <c r="G239" s="119"/>
    </row>
    <row r="240" spans="1:7" s="74" customFormat="1" x14ac:dyDescent="0.25">
      <c r="A240" s="119"/>
      <c r="B240" s="119"/>
      <c r="C240" s="119"/>
      <c r="D240" s="123"/>
      <c r="E240" s="119"/>
      <c r="F240" s="119"/>
      <c r="G240" s="119"/>
    </row>
    <row r="241" spans="1:7" s="74" customFormat="1" x14ac:dyDescent="0.25">
      <c r="A241" s="119"/>
      <c r="B241" s="119"/>
      <c r="C241" s="119"/>
      <c r="D241" s="123"/>
      <c r="E241" s="119"/>
      <c r="F241" s="119"/>
      <c r="G241" s="119"/>
    </row>
    <row r="242" spans="1:7" s="74" customFormat="1" x14ac:dyDescent="0.25">
      <c r="A242" s="119"/>
      <c r="B242" s="119"/>
      <c r="C242" s="119"/>
      <c r="D242" s="123"/>
      <c r="E242" s="119"/>
      <c r="F242" s="119"/>
      <c r="G242" s="119"/>
    </row>
    <row r="243" spans="1:7" s="74" customFormat="1" x14ac:dyDescent="0.25">
      <c r="A243" s="119"/>
      <c r="B243" s="119"/>
      <c r="C243" s="119"/>
      <c r="D243" s="123"/>
      <c r="E243" s="119"/>
      <c r="F243" s="119"/>
      <c r="G243" s="119"/>
    </row>
    <row r="244" spans="1:7" s="74" customFormat="1" x14ac:dyDescent="0.25">
      <c r="A244" s="119"/>
      <c r="B244" s="119"/>
      <c r="C244" s="119"/>
      <c r="D244" s="123"/>
      <c r="E244" s="119"/>
      <c r="F244" s="119"/>
      <c r="G244" s="119"/>
    </row>
  </sheetData>
  <mergeCells count="6">
    <mergeCell ref="F98:G98"/>
    <mergeCell ref="E152:F152"/>
    <mergeCell ref="F44:G44"/>
    <mergeCell ref="F1:G1"/>
    <mergeCell ref="A15:C15"/>
    <mergeCell ref="B40:C40"/>
  </mergeCells>
  <conditionalFormatting sqref="C17:C32">
    <cfRule type="containsText" dxfId="5" priority="6" operator="containsText" text="NO">
      <formula>NOT(ISERROR(SEARCH("NO",C17)))</formula>
    </cfRule>
  </conditionalFormatting>
  <conditionalFormatting sqref="B6">
    <cfRule type="duplicateValues" dxfId="4" priority="3"/>
    <cfRule type="duplicateValues" dxfId="3" priority="4"/>
    <cfRule type="duplicateValues" dxfId="2" priority="5"/>
  </conditionalFormatting>
  <conditionalFormatting sqref="B6">
    <cfRule type="duplicateValues" dxfId="1" priority="1"/>
    <cfRule type="duplicateValues" dxfId="0" priority="2"/>
  </conditionalFormatting>
  <pageMargins left="0.70866141732283472" right="0.70866141732283472" top="0.74803149606299213" bottom="0.74803149606299213" header="0.31496062992125984" footer="0.31496062992125984"/>
  <pageSetup scale="64" orientation="portrait" r:id="rId1"/>
  <headerFooter>
    <oddFooter>&amp;RF.OLIVA</oddFooter>
  </headerFooter>
  <rowBreaks count="4" manualBreakCount="4">
    <brk id="41" max="7" man="1"/>
    <brk id="95" max="7" man="1"/>
    <brk id="149" max="7" man="1"/>
    <brk id="197" max="7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'C:\Users\oliva.francis\Desktop\2017\AUDITORIAS PERSONAL INTERNO\[CALIDAD DE LA INSTALACION 2017 V1..xlsx]HFC'!#REF!</xm:f>
          </x14:formula1>
          <xm:sqref>A8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HFC</vt:lpstr>
      <vt:lpstr>CALTEC HFC</vt:lpstr>
      <vt:lpstr>VUC HFC</vt:lpstr>
      <vt:lpstr>TOOLS HFC</vt:lpstr>
      <vt:lpstr>'CALTEC HFC'!Área_de_impresión</vt:lpstr>
      <vt:lpstr>'TOOLS HFC'!Área_de_impresión</vt:lpstr>
      <vt:lpstr>'VUC HFC'!Área_de_impresión</vt:lpstr>
      <vt:lpstr>TABLA_ORIGEN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NACEL3NEW5480</dc:creator>
  <cp:lastModifiedBy>Josue Lima</cp:lastModifiedBy>
  <cp:lastPrinted>2022-07-07T21:54:00Z</cp:lastPrinted>
  <dcterms:created xsi:type="dcterms:W3CDTF">2018-03-23T00:56:22Z</dcterms:created>
  <dcterms:modified xsi:type="dcterms:W3CDTF">2023-07-11T00:35:06Z</dcterms:modified>
</cp:coreProperties>
</file>